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2213da4ba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bf6fa4a59934dd5"/>
    <x:sheet xmlns:r="http://schemas.openxmlformats.org/officeDocument/2006/relationships" name="Priority Keywords" sheetId="2" r:id="Rc13f2905fdd3492c"/>
    <x:sheet xmlns:r="http://schemas.openxmlformats.org/officeDocument/2006/relationships" name="Page Map" sheetId="3" r:id="R14511f64eae24afe"/>
    <x:sheet xmlns:r="http://schemas.openxmlformats.org/officeDocument/2006/relationships" name="Competitor Matrix" sheetId="4" r:id="R17bb91964873445d"/>
    <x:sheet xmlns:r="http://schemas.openxmlformats.org/officeDocument/2006/relationships" name="Content Briefs" sheetId="5" r:id="R7e3f4004e9eb4074"/>
    <x:sheet xmlns:r="http://schemas.openxmlformats.org/officeDocument/2006/relationships" name="GSC Queries 28d" sheetId="6" r:id="R6761d91996394b55"/>
    <x:sheet xmlns:r="http://schemas.openxmlformats.org/officeDocument/2006/relationships" name="GSC Queries 7d" sheetId="7" r:id="Rd0c2ba66778c4ec5"/>
    <x:sheet xmlns:r="http://schemas.openxmlformats.org/officeDocument/2006/relationships" name="GSC Pages 28d" sheetId="8" r:id="Rf0e2831bfdc44ede"/>
    <x:sheet xmlns:r="http://schemas.openxmlformats.org/officeDocument/2006/relationships" name="GSC Trend 28d" sheetId="9" r:id="R4bb8564bd79945d1"/>
    <x:sheet xmlns:r="http://schemas.openxmlformats.org/officeDocument/2006/relationships" name="SE Rank Tracking" sheetId="10" r:id="R5f6e46123db54dc2"/>
    <x:sheet xmlns:r="http://schemas.openxmlformats.org/officeDocument/2006/relationships" name="SE Keyword Research" sheetId="11" r:id="Rcd8a30ba35cf4959"/>
    <x:sheet xmlns:r="http://schemas.openxmlformats.org/officeDocument/2006/relationships" name="SE Keyword Gaps" sheetId="12" r:id="Rd3b7c32ddcfc4682"/>
    <x:sheet xmlns:r="http://schemas.openxmlformats.org/officeDocument/2006/relationships" name="Sources &amp; Assumptions" sheetId="13" r:id="R2a7f4134befd47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0.00%"/>
    <x:numFmt numFmtId="202" formatCode="0.00"/>
    <x:numFmt numFmtId="203" formatCode="#,##0.00"/>
    <x:numFmt numFmtId="204" formatCode="yyyy-mm-dd"/>
    <x:numFmt numFmtId="205" formatCode="0"/>
    <x:numFmt numFmtId="206" formatCode="$0.00"/>
    <x:numFmt numFmtId="207" formatCode="0%"/>
    <x:numFmt numFmtId="208" formatCode="0.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0242C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10"/>
      <x:color rgb="FF20242C"/>
      <x:name val="Carlito"/>
    </x:font>
    <x:font>
      <x:b/>
      <x:sz val="11"/>
      <x:color rgb="FF232E66"/>
      <x:name val="Carlito"/>
    </x:font>
    <x:font>
      <x:b/>
      <x:sz val="10"/>
      <x:color rgb="FF232E66"/>
      <x:name val="Carlito"/>
    </x:font>
    <x:font>
      <x:b/>
      <x:sz val="20"/>
      <x:color rgb="FF20242C"/>
      <x:name val="Carlito"/>
    </x:font>
    <x:font>
      <x:b/>
      <x:sz val="14"/>
      <x:color rgb="FF232E66"/>
      <x:name val="Carlito"/>
    </x:font>
    <x:font>
      <x:sz val="11"/>
      <x:color rgb="FF20242C"/>
      <x:name val="Carlito"/>
    </x:font>
    <x:font>
      <x:b/>
      <x:sz val="11"/>
      <x:color rgb="FF20242C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32E66"/>
      </x:patternFill>
    </x:fill>
    <x:fill>
      <x:patternFill patternType="solid">
        <x:fgColor rgb="FFEAF3FA"/>
      </x:patternFill>
    </x:fill>
    <x:fill>
      <x:patternFill patternType="solid">
        <x:fgColor rgb="FF3F8CCB"/>
      </x:patternFill>
    </x:fill>
    <x:fill>
      <x:patternFill patternType="solid">
        <x:fgColor rgb="FFFFFFFF"/>
      </x:patternFill>
    </x:fill>
    <x:fill>
      <x:patternFill patternType="solid">
        <x:fgColor rgb="FFA6CE39"/>
      </x:patternFill>
    </x:fill>
    <x:fill>
      <x:patternFill patternType="solid">
        <x:fgColor rgb="FFF7F5EF"/>
      </x:patternFill>
    </x:fill>
    <x:fill>
      <x:patternFill patternType="solid">
        <x:fgColor rgb="FFEDF6D7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bottom style="thin">
        <x:color rgb="FFD9DEE8"/>
      </x:bottom>
    </x:border>
    <x:border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/>
    </x:xf>
    <x:xf numFmtId="207" fontId="5" fillId="0" borderId="1" xfId="0" applyNumberFormat="1" applyFont="1" applyFill="1" applyBorder="1" applyAlignment="1">
      <x:alignment vertical="top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/>
    </x:xf>
    <x:xf numFmtId="208" fontId="5" fillId="0" borderId="1" xfId="0" applyNumberFormat="1" applyFont="1" applyFill="1" applyBorder="1" applyAlignment="1">
      <x:alignment vertical="top"/>
    </x:xf>
    <x:xf numFmtId="205" fontId="5" fillId="0" borderId="1" xfId="0" applyNumberFormat="1" applyFont="1" applyFill="1" applyBorder="1" applyAlignment="1">
      <x:alignment vertical="top"/>
    </x:xf>
    <x:xf numFmtId="200" fontId="5" fillId="0" borderId="1" xfId="0" applyNumberFormat="1" applyFont="1" applyFill="1" applyBorder="1" applyAlignment="1">
      <x:alignment vertical="top" wrapText="1"/>
    </x:xf>
    <x:xf numFmtId="208" fontId="5" fillId="0" borderId="1" xfId="0" applyNumberFormat="1" applyFont="1" applyFill="1" applyBorder="1" applyAlignment="1">
      <x:alignment vertical="top" wrapText="1"/>
    </x:xf>
    <x:xf numFmtId="205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2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8" fillId="5" borderId="5" xfId="0" applyNumberFormat="1" applyFont="1" applyFill="1" applyBorder="1" applyAlignment="1">
      <x:alignment vertical="center"/>
    </x:xf>
    <x:xf numFmtId="0" fontId="8" fillId="5" borderId="6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201" fontId="8" fillId="5" borderId="2" xfId="0" applyNumberFormat="1" applyFont="1" applyFill="1" applyBorder="1" applyAlignment="1">
      <x:alignment vertical="center"/>
    </x:xf>
    <x:xf numFmtId="201" fontId="8" fillId="5" borderId="3" xfId="0" applyNumberFormat="1" applyFont="1" applyFill="1" applyBorder="1" applyAlignment="1">
      <x:alignment vertical="center"/>
    </x:xf>
    <x:xf numFmtId="201" fontId="8" fillId="5" borderId="4" xfId="0" applyNumberFormat="1" applyFont="1" applyFill="1" applyBorder="1" applyAlignment="1">
      <x:alignment vertical="center"/>
    </x:xf>
    <x:xf numFmtId="201" fontId="8" fillId="5" borderId="5" xfId="0" applyNumberFormat="1" applyFont="1" applyFill="1" applyBorder="1" applyAlignment="1">
      <x:alignment vertical="center"/>
    </x:xf>
    <x:xf numFmtId="201" fontId="8" fillId="5" borderId="6" xfId="0" applyNumberFormat="1" applyFont="1" applyFill="1" applyBorder="1" applyAlignment="1">
      <x:alignment vertical="center"/>
    </x:xf>
    <x:xf numFmtId="201" fontId="8" fillId="5" borderId="7" xfId="0" applyNumberFormat="1" applyFont="1" applyFill="1" applyBorder="1" applyAlignment="1">
      <x:alignment vertical="center"/>
    </x:xf>
    <x:xf numFmtId="200" fontId="8" fillId="5" borderId="2" xfId="0" applyNumberFormat="1" applyFont="1" applyFill="1" applyBorder="1" applyAlignment="1">
      <x:alignment vertical="center"/>
    </x:xf>
    <x:xf numFmtId="200" fontId="8" fillId="5" borderId="3" xfId="0" applyNumberFormat="1" applyFont="1" applyFill="1" applyBorder="1" applyAlignment="1">
      <x:alignment vertical="center"/>
    </x:xf>
    <x:xf numFmtId="200" fontId="8" fillId="5" borderId="4" xfId="0" applyNumberFormat="1" applyFont="1" applyFill="1" applyBorder="1" applyAlignment="1">
      <x:alignment vertical="center"/>
    </x:xf>
    <x:xf numFmtId="200" fontId="8" fillId="5" borderId="5" xfId="0" applyNumberFormat="1" applyFont="1" applyFill="1" applyBorder="1" applyAlignment="1">
      <x:alignment vertical="center"/>
    </x:xf>
    <x:xf numFmtId="200" fontId="8" fillId="5" borderId="6" xfId="0" applyNumberFormat="1" applyFont="1" applyFill="1" applyBorder="1" applyAlignment="1">
      <x:alignment vertical="center"/>
    </x:xf>
    <x:xf numFmtId="200" fontId="8" fillId="5" borderId="7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2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6" xfId="0" applyNumberFormat="1" applyFont="1" applyFill="1" applyBorder="1"/>
    <x:xf numFmtId="0" fontId="11" fillId="9" borderId="7" xfId="0" applyNumberFormat="1" applyFont="1" applyFill="1" applyBorder="1"/>
    <x:xf numFmtId="0" fontId="11" fillId="9" borderId="2" xfId="0" applyNumberFormat="1" applyFont="1" applyFill="1" applyBorder="1" applyAlignment="1">
      <x:alignment wrapText="1"/>
    </x:xf>
    <x:xf numFmtId="0" fontId="11" fillId="9" borderId="3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6" xfId="0" applyNumberFormat="1" applyFont="1" applyFill="1" applyBorder="1" applyAlignment="1">
      <x:alignment wrapText="1"/>
    </x:xf>
    <x:xf numFmtId="0" fontId="11" fillId="9" borderId="7" xfId="0" applyNumberFormat="1" applyFont="1" applyFill="1" applyBorder="1" applyAlignment="1">
      <x:alignment wrapText="1"/>
    </x:xf>
    <x:xf numFmtId="0" fontId="11" fillId="9" borderId="2" xfId="0" applyNumberFormat="1" applyFont="1" applyFill="1" applyBorder="1" applyAlignment="1">
      <x:alignment vertical="center" wrapText="1"/>
    </x:xf>
    <x:xf numFmtId="0" fontId="11" fillId="9" borderId="3" xfId="0" applyNumberFormat="1" applyFont="1" applyFill="1" applyBorder="1" applyAlignment="1">
      <x:alignment vertical="center" wrapText="1"/>
    </x:xf>
    <x:xf numFmtId="0" fontId="11" fillId="9" borderId="4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1" fillId="9" borderId="6" xfId="0" applyNumberFormat="1" applyFont="1" applyFill="1" applyBorder="1" applyAlignment="1">
      <x:alignment vertical="center" wrapText="1"/>
    </x:xf>
    <x:xf numFmtId="0" fontId="11" fillId="9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677448de44366" /><Relationship Type="http://schemas.openxmlformats.org/officeDocument/2006/relationships/theme" Target="/xl/theme/theme1.xml" Id="R619a1591bf0c4962" /><Relationship Type="http://schemas.openxmlformats.org/officeDocument/2006/relationships/sharedStrings" Target="/xl/sharedStrings.xml" Id="R7fdf2f727bcb4b97" /><Relationship Type="http://schemas.openxmlformats.org/officeDocument/2006/relationships/worksheet" Target="/xl/worksheets/sheet1.xml" Id="Rcbf6fa4a59934dd5" /><Relationship Type="http://schemas.openxmlformats.org/officeDocument/2006/relationships/worksheet" Target="/xl/worksheets/sheet2.xml" Id="Rc13f2905fdd3492c" /><Relationship Type="http://schemas.openxmlformats.org/officeDocument/2006/relationships/worksheet" Target="/xl/worksheets/sheet3.xml" Id="R14511f64eae24afe" /><Relationship Type="http://schemas.openxmlformats.org/officeDocument/2006/relationships/worksheet" Target="/xl/worksheets/sheet4.xml" Id="R17bb91964873445d" /><Relationship Type="http://schemas.openxmlformats.org/officeDocument/2006/relationships/worksheet" Target="/xl/worksheets/sheet5.xml" Id="R7e3f4004e9eb4074" /><Relationship Type="http://schemas.openxmlformats.org/officeDocument/2006/relationships/worksheet" Target="/xl/worksheets/sheet6.xml" Id="R6761d91996394b55" /><Relationship Type="http://schemas.openxmlformats.org/officeDocument/2006/relationships/worksheet" Target="/xl/worksheets/sheet7.xml" Id="Rd0c2ba66778c4ec5" /><Relationship Type="http://schemas.openxmlformats.org/officeDocument/2006/relationships/worksheet" Target="/xl/worksheets/sheet8.xml" Id="Rf0e2831bfdc44ede" /><Relationship Type="http://schemas.openxmlformats.org/officeDocument/2006/relationships/worksheet" Target="/xl/worksheets/sheet9.xml" Id="R4bb8564bd79945d1" /><Relationship Type="http://schemas.openxmlformats.org/officeDocument/2006/relationships/worksheet" Target="/xl/worksheets/sheet10.xml" Id="R5f6e46123db54dc2" /><Relationship Type="http://schemas.openxmlformats.org/officeDocument/2006/relationships/worksheet" Target="/xl/worksheets/sheet11.xml" Id="Rcd8a30ba35cf4959" /><Relationship Type="http://schemas.openxmlformats.org/officeDocument/2006/relationships/worksheet" Target="/xl/worksheets/sheet12.xml" Id="Rd3b7c32ddcfc4682" /><Relationship Type="http://schemas.openxmlformats.org/officeDocument/2006/relationships/worksheet" Target="/xl/worksheets/sheet13.xml" Id="R2a7f4134befd4793" /><Relationship Type="http://schemas.microsoft.com/office/2017/10/relationships/person" Target="/xl/persons/person.xml" Id="Rb75216d523b04a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185907d7f54d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Opportunity scores for the first eight priorities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'Executive Summary'!$A$21:$A$28</c:f>
              <c:strCache>
                <c:ptCount val="0"/>
              </c:strCache>
            </c:strRef>
          </c:cat>
          <c:val>
            <c:numRef>
              <c:f>'Executive Summary'!$B$21:$B$28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85907d7f54d4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Codex SEO Audit" id="{08222E4D-CCDA-4344-904C-835D33E2D4D1}"/>
</xltc:personList>
</file>

<file path=xl/tables/table1.xml><?xml version="1.0" encoding="utf-8"?>
<x:table xmlns:x="http://schemas.openxmlformats.org/spreadsheetml/2006/main" id="8" name="PriorityKeywordsTable" displayName="PriorityKeywordsTable" ref="A5:Q20" headerRowCount="1" totalsRowCount="0" totalsRowShown="0">
  <x:autoFilter ref="A5:Q20"/>
  <x:tableColumns count="17">
    <x:tableColumn id="1" name="Cluster"/>
    <x:tableColumn id="2" name="Primary keyword"/>
    <x:tableColumn id="3" name="Intent"/>
    <x:tableColumn id="4" name="Recommended URL"/>
    <x:tableColumn id="5" name="Action"/>
    <x:tableColumn id="6" name="GSC impressions"/>
    <x:tableColumn id="7" name="GSC clicks"/>
    <x:tableColumn id="8" name="GSC avg position"/>
    <x:tableColumn id="9" name="SE volume"/>
    <x:tableColumn id="10" name="SE difficulty"/>
    <x:tableColumn id="11" name="SE current position"/>
    <x:tableColumn id="12" name="Business fit (1–5)"/>
    <x:tableColumn id="13" name="Asset leverage (1–5)"/>
    <x:tableColumn id="14" name="Effort (1–5)"/>
    <x:tableColumn id="15" name="Opportunity score"/>
    <x:tableColumn id="16" name="Priority"/>
    <x:tableColumn id="17" name="Why n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9" name="PageMapTable" displayName="PageMapTable" ref="A5:F20" headerRowCount="1" totalsRowCount="0" totalsRowShown="0">
  <x:autoFilter ref="A5:F20"/>
  <x:tableColumns count="6">
    <x:tableColumn id="1" name="URL"/>
    <x:tableColumn id="2" name="Primary keyword cluster"/>
    <x:tableColumn id="3" name="Intent"/>
    <x:tableColumn id="4" name="Action"/>
    <x:tableColumn id="5" name="Sequence"/>
    <x:tableColumn id="6" name="Implement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0" name="CompetitorMatrixTable" displayName="CompetitorMatrixTable" ref="A5:J11" headerRowCount="1" totalsRowCount="0" totalsRowShown="0">
  <x:autoFilter ref="A5:J11"/>
  <x:tableColumns count="10">
    <x:tableColumn id="1" name="Domain"/>
    <x:tableColumn id="2" name="Positioning"/>
    <x:tableColumn id="3" name="Authority"/>
    <x:tableColumn id="4" name="Referring domains"/>
    <x:tableColumn id="5" name="Backlinks"/>
    <x:tableColumn id="6" name="Linked pages"/>
    <x:tableColumn id="7" name="Winning format"/>
    <x:tableColumn id="8" name="What Turnkey should learn"/>
    <x:tableColumn id="9" name="Primary source"/>
    <x:tableColumn id="10" name="Data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GSCQueries28dTable" displayName="GSCQueries28dTable" ref="A5:G380" headerRowCount="1" totalsRowCount="0" totalsRowShown="0">
  <x:autoFilter ref="A5:G380"/>
  <x:tableColumns count="7">
    <x:tableColumn id="1" name="Top queries"/>
    <x:tableColumn id="2" name="Clicks"/>
    <x:tableColumn id="3" name="Impressions"/>
    <x:tableColumn id="4" name="CTR"/>
    <x:tableColumn id="5" name="Position"/>
    <x:tableColumn id="6" name="Cluster"/>
    <x:tableColumn id="7" name="Impression-weighted pos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GSCQueries7dTable" displayName="GSCQueries7dTable" ref="A5:G266" headerRowCount="1" totalsRowCount="0" totalsRowShown="0">
  <x:autoFilter ref="A5:G266"/>
  <x:tableColumns count="7">
    <x:tableColumn id="1" name="Top queries"/>
    <x:tableColumn id="2" name="Clicks"/>
    <x:tableColumn id="3" name="Impressions"/>
    <x:tableColumn id="4" name="CTR"/>
    <x:tableColumn id="5" name="Position"/>
    <x:tableColumn id="6" name="Cluster"/>
    <x:tableColumn id="7" name="Impression-weighted pos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GSCPages28dTable" displayName="GSCPages28dTable" ref="A5:E62" headerRowCount="1" totalsRowCount="0" totalsRowShown="0">
  <x:autoFilter ref="A5:E62"/>
  <x:tableColumns count="5">
    <x:tableColumn id="1" name="Top pages"/>
    <x:tableColumn id="2" name="Clicks"/>
    <x:tableColumn id="3" name="Impressions"/>
    <x:tableColumn id="4" name="CTR"/>
    <x:tableColumn id="5" name="Posi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GSCTrend28dTable" displayName="GSCTrend28dTable" ref="A5:E33" headerRowCount="1" totalsRowCount="0" totalsRowShown="0">
  <x:autoFilter ref="A5:E33"/>
  <x:tableColumns count="5">
    <x:tableColumn id="1" name="Date"/>
    <x:tableColumn id="2" name="Clicks"/>
    <x:tableColumn id="3" name="Impressions"/>
    <x:tableColumn id="4" name="CTR"/>
    <x:tableColumn id="5" name="Pos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SERankTrackingTable" displayName="SERankTrackingTable" ref="A5:G132" headerRowCount="1" totalsRowCount="0" totalsRowShown="0">
  <x:autoFilter ref="A5:G132"/>
  <x:tableColumns count="7">
    <x:tableColumn id="1" name="Keyword"/>
    <x:tableColumn id="2" name="Position"/>
    <x:tableColumn id="3" name="Volume"/>
    <x:tableColumn id="4" name="CPC"/>
    <x:tableColumn id="5" name="Position change"/>
    <x:tableColumn id="6" name="Landing page"/>
    <x:tableColumn id="7" name="D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6" name="SEKeywordResearchTable" displayName="SEKeywordResearchTable" ref="A5:F349" headerRowCount="1" totalsRowCount="0" totalsRowShown="0">
  <x:autoFilter ref="A5:F349"/>
  <x:tableColumns count="6">
    <x:tableColumn id="1" name="Keyword"/>
    <x:tableColumn id="2" name="Volume"/>
    <x:tableColumn id="3" name="Difficulty"/>
    <x:tableColumn id="4" name="CPC"/>
    <x:tableColumn id="5" name="Source"/>
    <x:tableColumn id="6" name="Sourc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SEKeywordGapsTable" displayName="SEKeywordGapsTable" ref="A5:H172" headerRowCount="1" totalsRowCount="0" totalsRowShown="0">
  <x:autoFilter ref="A5:H172"/>
  <x:tableColumns count="8">
    <x:tableColumn id="1" name="Competitor"/>
    <x:tableColumn id="2" name="Keyword"/>
    <x:tableColumn id="3" name="Volume"/>
    <x:tableColumn id="4" name="Difficulty"/>
    <x:tableColumn id="5" name="CPC"/>
    <x:tableColumn id="6" name="Competitor position"/>
    <x:tableColumn id="7" name="Competitor URL"/>
    <x:tableColumn id="8" name="I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1d3bdc3a6c42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094a6a3fa9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5fe52522774c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6bdf8f066747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d6ae9ddd3304f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0b4d2ddd5cd4f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e071825a8504b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4951401dd1b44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6e35a2fe0fd46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039073134941d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926ddef04f34b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3" t="str">
        <x:v>Turnkey Auto Marketing — Phase 2 SEO Opportunity Map</x:v>
      </x:c>
      <x:c r="B1" s="3" t="str">
        <x:v>Turnkey Auto Marketing — Phase 2 SEO Opportunity Map</x:v>
      </x:c>
      <x:c r="C1" s="3" t="str">
        <x:v>Turnkey Auto Marketing — Phase 2 SEO Opportunity Map</x:v>
      </x:c>
      <x:c r="D1" s="3" t="str">
        <x:v>Turnkey Auto Marketing — Phase 2 SEO Opportunity Map</x:v>
      </x:c>
      <x:c r="E1" s="3" t="str">
        <x:v>Turnkey Auto Marketing — Phase 2 SEO Opportunity Map</x:v>
      </x:c>
      <x:c r="F1" s="3" t="str">
        <x:v>Turnkey Auto Marketing — Phase 2 SEO Opportunity Map</x:v>
      </x:c>
      <x:c r="G1" s="3" t="str">
        <x:v>Turnkey Auto Marketing — Phase 2 SEO Opportunity Map</x:v>
      </x:c>
      <x:c r="H1" s="3" t="str">
        <x:v>Turnkey Auto Marketing — Phase 2 SEO Opportunity Map</x:v>
      </x:c>
      <x:c r="I1" s="3" t="str">
        <x:v>Turnkey Auto Marketing — Phase 2 SEO Opportunity Map</x:v>
      </x:c>
      <x:c r="J1" s="3" t="str">
        <x:v>Turnkey Auto Marketing — Phase 2 SEO Opportunity Map</x:v>
      </x:c>
      <x:c r="K1" s="3" t="str">
        <x:v>Turnkey Auto Marketing — Phase 2 SEO Opportunity Map</x:v>
      </x:c>
      <x:c r="L1" s="3" t="str">
        <x:v>Turnkey Auto Marketing — Phase 2 SEO Opportunity Map</x:v>
      </x:c>
      <x:c r="M1" s="3" t="str">
        <x:v>Turnkey Auto Marketing — Phase 2 SEO Opportunity Map</x:v>
      </x:c>
      <x:c r="N1" s="3" t="str">
        <x:v>Turnkey Auto Marketing — Phase 2 SEO Opportunity Map</x:v>
      </x:c>
      <x:c r="O1" s="3" t="str">
        <x:v>Turnkey Auto Marketing — Phase 2 SEO Opportunity Map</x:v>
      </x:c>
      <x:c r="P1" s="3" t="str">
        <x:v>Turnkey Auto Marketing — Phase 2 SEO Opportunity Map</x:v>
      </x:c>
    </x:row>
    <x:row r="2" ht="28" customHeight="1">
      <x:c r="A2" s="3" t="str">
        <x:v>Turnkey Auto Marketing — Phase 2 SEO Opportunity Map</x:v>
      </x:c>
      <x:c r="B2" s="3" t="str">
        <x:v>Turnkey Auto Marketing — Phase 2 SEO Opportunity Map</x:v>
      </x:c>
      <x:c r="C2" s="3" t="str">
        <x:v>Turnkey Auto Marketing — Phase 2 SEO Opportunity Map</x:v>
      </x:c>
      <x:c r="D2" s="3" t="str">
        <x:v>Turnkey Auto Marketing — Phase 2 SEO Opportunity Map</x:v>
      </x:c>
      <x:c r="E2" s="3" t="str">
        <x:v>Turnkey Auto Marketing — Phase 2 SEO Opportunity Map</x:v>
      </x:c>
      <x:c r="F2" s="3" t="str">
        <x:v>Turnkey Auto Marketing — Phase 2 SEO Opportunity Map</x:v>
      </x:c>
      <x:c r="G2" s="3" t="str">
        <x:v>Turnkey Auto Marketing — Phase 2 SEO Opportunity Map</x:v>
      </x:c>
      <x:c r="H2" s="3" t="str">
        <x:v>Turnkey Auto Marketing — Phase 2 SEO Opportunity Map</x:v>
      </x:c>
      <x:c r="I2" s="3" t="str">
        <x:v>Turnkey Auto Marketing — Phase 2 SEO Opportunity Map</x:v>
      </x:c>
      <x:c r="J2" s="3" t="str">
        <x:v>Turnkey Auto Marketing — Phase 2 SEO Opportunity Map</x:v>
      </x:c>
      <x:c r="K2" s="3" t="str">
        <x:v>Turnkey Auto Marketing — Phase 2 SEO Opportunity Map</x:v>
      </x:c>
      <x:c r="L2" s="3" t="str">
        <x:v>Turnkey Auto Marketing — Phase 2 SEO Opportunity Map</x:v>
      </x:c>
      <x:c r="M2" s="3" t="str">
        <x:v>Turnkey Auto Marketing — Phase 2 SEO Opportunity Map</x:v>
      </x:c>
      <x:c r="N2" s="3" t="str">
        <x:v>Turnkey Auto Marketing — Phase 2 SEO Opportunity Map</x:v>
      </x:c>
      <x:c r="O2" s="3" t="str">
        <x:v>Turnkey Auto Marketing — Phase 2 SEO Opportunity Map</x:v>
      </x:c>
      <x:c r="P2" s="3" t="str">
        <x:v>Turnkey Auto Marketing — Phase 2 SEO Opportunity Map</x:v>
      </x:c>
    </x:row>
    <x:row r="3" ht="28" customHeight="1">
      <x:c r="A3" s="7" t="str">
        <x:v>Outcome: prioritize pages and content that can win qualified auto-repair-marketing demand without overstating Turnkey's current service scope.</x:v>
      </x:c>
      <x:c r="B3" s="7" t="str">
        <x:v>Outcome: prioritize pages and content that can win qualified auto-repair-marketing demand without overstating Turnkey's current service scope.</x:v>
      </x:c>
      <x:c r="C3" s="7" t="str">
        <x:v>Outcome: prioritize pages and content that can win qualified auto-repair-marketing demand without overstating Turnkey's current service scope.</x:v>
      </x:c>
      <x:c r="D3" s="7" t="str">
        <x:v>Outcome: prioritize pages and content that can win qualified auto-repair-marketing demand without overstating Turnkey's current service scope.</x:v>
      </x:c>
      <x:c r="E3" s="7" t="str">
        <x:v>Outcome: prioritize pages and content that can win qualified auto-repair-marketing demand without overstating Turnkey's current service scope.</x:v>
      </x:c>
      <x:c r="F3" s="7" t="str">
        <x:v>Outcome: prioritize pages and content that can win qualified auto-repair-marketing demand without overstating Turnkey's current service scope.</x:v>
      </x:c>
      <x:c r="G3" s="7" t="str">
        <x:v>Outcome: prioritize pages and content that can win qualified auto-repair-marketing demand without overstating Turnkey's current service scope.</x:v>
      </x:c>
      <x:c r="H3" s="7" t="str">
        <x:v>Outcome: prioritize pages and content that can win qualified auto-repair-marketing demand without overstating Turnkey's current service scope.</x:v>
      </x:c>
      <x:c r="I3" s="7" t="str">
        <x:v>Outcome: prioritize pages and content that can win qualified auto-repair-marketing demand without overstating Turnkey's current service scope.</x:v>
      </x:c>
      <x:c r="J3" s="7" t="str">
        <x:v>Outcome: prioritize pages and content that can win qualified auto-repair-marketing demand without overstating Turnkey's current service scope.</x:v>
      </x:c>
      <x:c r="K3" s="7" t="str">
        <x:v>Outcome: prioritize pages and content that can win qualified auto-repair-marketing demand without overstating Turnkey's current service scope.</x:v>
      </x:c>
      <x:c r="L3" s="7" t="str">
        <x:v>Outcome: prioritize pages and content that can win qualified auto-repair-marketing demand without overstating Turnkey's current service scope.</x:v>
      </x:c>
      <x:c r="M3" s="7" t="str">
        <x:v>Outcome: prioritize pages and content that can win qualified auto-repair-marketing demand without overstating Turnkey's current service scope.</x:v>
      </x:c>
      <x:c r="N3" s="7" t="str">
        <x:v>Outcome: prioritize pages and content that can win qualified auto-repair-marketing demand without overstating Turnkey's current service scope.</x:v>
      </x:c>
      <x:c r="O3" s="7" t="str">
        <x:v>Outcome: prioritize pages and content that can win qualified auto-repair-marketing demand without overstating Turnkey's current service scope.</x:v>
      </x:c>
      <x:c r="P3" s="7" t="str">
        <x:v>Outcome: prioritize pages and content that can win qualified auto-repair-marketing demand without overstating Turnkey's current service scope.</x:v>
      </x:c>
    </x:row>
    <x:row r="4">
      <x:c r="A4" s="40" t="str">
        <x:v>28d clicks</x:v>
      </x:c>
      <x:c r="B4" s="40" t="str">
        <x:v>28d clicks</x:v>
      </x:c>
      <x:c r="C4" s="40" t="str">
        <x:v>28d clicks</x:v>
      </x:c>
      <x:c r="D4" s="40" t="str">
        <x:v>28d impressions</x:v>
      </x:c>
      <x:c r="E4" s="40" t="str">
        <x:v>28d impressions</x:v>
      </x:c>
      <x:c r="F4" s="40" t="str">
        <x:v>28d impressions</x:v>
      </x:c>
      <x:c r="G4" s="40" t="str">
        <x:v>Site CTR</x:v>
      </x:c>
      <x:c r="H4" s="40" t="str">
        <x:v>Site CTR</x:v>
      </x:c>
      <x:c r="I4" s="40" t="str">
        <x:v>Site CTR</x:v>
      </x:c>
      <x:c r="J4" s="40" t="str">
        <x:v>Non-brand clicks</x:v>
      </x:c>
      <x:c r="K4" s="40" t="str">
        <x:v>Non-brand clicks</x:v>
      </x:c>
      <x:c r="L4" s="40" t="str">
        <x:v>Non-brand clicks</x:v>
      </x:c>
      <x:c r="M4" s="40" t="str">
        <x:v>Tracked top 10</x:v>
      </x:c>
      <x:c r="N4" s="40" t="str">
        <x:v>Tracked top 10</x:v>
      </x:c>
      <x:c r="O4" s="40" t="str">
        <x:v>Tracked top 10</x:v>
      </x:c>
    </x:row>
    <x:row r="5">
      <x:c r="A5" s="61" t="n">
        <x:f>SUM('GSC Trend 28d'!$B$6:$B$33)</x:f>
        <x:v>87</x:v>
      </x:c>
      <x:c r="B5" s="62"/>
      <x:c r="C5" s="63"/>
      <x:c r="D5" s="61" t="n">
        <x:f>SUM('GSC Trend 28d'!$C$6:$C$33)</x:f>
        <x:v>9331</x:v>
      </x:c>
      <x:c r="E5" s="62"/>
      <x:c r="F5" s="63"/>
      <x:c r="G5" s="55" t="n">
        <x:f>A5/D5</x:f>
        <x:v>0.009323759511306397</x:v>
      </x:c>
      <x:c r="H5" s="56"/>
      <x:c r="I5" s="57"/>
      <x:c r="J5" s="61" t="n">
        <x:f>SUMIF('GSC Queries 28d'!$F$6:$F$380,"&lt;&gt;Branded",'GSC Queries 28d'!$B$6:$B$380)</x:f>
        <x:v>1</x:v>
      </x:c>
      <x:c r="K5" s="62"/>
      <x:c r="L5" s="63"/>
      <x:c r="M5" s="61" t="n">
        <x:v>3</x:v>
      </x:c>
      <x:c r="N5" s="62" t="n">
        <x:v>3</x:v>
      </x:c>
      <x:c r="O5" s="63" t="n">
        <x:v>3</x:v>
      </x:c>
    </x:row>
    <x:row r="6">
      <x:c r="A6" s="64"/>
      <x:c r="B6" s="65"/>
      <x:c r="C6" s="66"/>
      <x:c r="D6" s="64"/>
      <x:c r="E6" s="65"/>
      <x:c r="F6" s="66"/>
      <x:c r="G6" s="58"/>
      <x:c r="H6" s="59"/>
      <x:c r="I6" s="60"/>
      <x:c r="J6" s="64"/>
      <x:c r="K6" s="65"/>
      <x:c r="L6" s="66"/>
      <x:c r="M6" s="64" t="n">
        <x:v>3</x:v>
      </x:c>
      <x:c r="N6" s="65" t="n">
        <x:v>3</x:v>
      </x:c>
      <x:c r="O6" s="66" t="n">
        <x:v>3</x:v>
      </x:c>
    </x:row>
    <x:row r="8">
      <x:c r="A8" s="40" t="str">
        <x:v>Referring domains</x:v>
      </x:c>
      <x:c r="B8" s="40" t="str">
        <x:v>Referring domains</x:v>
      </x:c>
      <x:c r="C8" s="40" t="str">
        <x:v>Referring domains</x:v>
      </x:c>
      <x:c r="D8" s="40" t="str">
        <x:v>Pages with backlinks</x:v>
      </x:c>
      <x:c r="E8" s="40" t="str">
        <x:v>Pages with backlinks</x:v>
      </x:c>
      <x:c r="F8" s="40" t="str">
        <x:v>Pages with backlinks</x:v>
      </x:c>
      <x:c r="G8" s="16" t="str">
        <x:v>What the data says</x:v>
      </x:c>
      <x:c r="H8" s="16" t="str">
        <x:v>What the data says</x:v>
      </x:c>
      <x:c r="I8" s="16" t="str">
        <x:v>What the data says</x:v>
      </x:c>
      <x:c r="J8" s="16" t="str">
        <x:v>What the data says</x:v>
      </x:c>
      <x:c r="K8" s="16" t="str">
        <x:v>What the data says</x:v>
      </x:c>
      <x:c r="L8" s="16" t="str">
        <x:v>What the data says</x:v>
      </x:c>
      <x:c r="M8" s="16" t="str">
        <x:v>What the data says</x:v>
      </x:c>
      <x:c r="N8" s="16" t="str">
        <x:v>What the data says</x:v>
      </x:c>
      <x:c r="O8" s="16" t="str">
        <x:v>What the data says</x:v>
      </x:c>
      <x:c r="P8" s="16" t="str">
        <x:v>What the data says</x:v>
      </x:c>
    </x:row>
    <x:row r="9" ht="52" customHeight="1">
      <x:c r="A9" s="61" t="n">
        <x:v>81</x:v>
      </x:c>
      <x:c r="B9" s="62" t="n">
        <x:v>81</x:v>
      </x:c>
      <x:c r="C9" s="63" t="n">
        <x:v>81</x:v>
      </x:c>
      <x:c r="D9" s="61" t="n">
        <x:v>8</x:v>
      </x:c>
      <x:c r="E9" s="62" t="n">
        <x:v>8</x:v>
      </x:c>
      <x:c r="F9" s="63" t="n">
        <x:v>8</x:v>
      </x:c>
      <x:c r="G9" s="71" t="str">
        <x:v>1</x:v>
      </x:c>
      <x:c r="H9" s="76" t="str">
        <x:v>Demand exists before rankings do</x:v>
      </x:c>
      <x:c r="I9" s="76"/>
      <x:c r="J9" s="76"/>
      <x:c r="K9" s="80" t="str">
        <x:v>The site generated 9,331 impressions but only 87 clicks in 28 days; non-brand queries show substantial page-two/three opportunity.</x:v>
      </x:c>
      <x:c r="L9" s="80"/>
      <x:c r="M9" s="80"/>
      <x:c r="N9" s="80"/>
      <x:c r="O9" s="80"/>
      <x:c r="P9" s="80"/>
    </x:row>
    <x:row r="10" ht="52" customHeight="1">
      <x:c r="A10" s="64" t="n">
        <x:v>81</x:v>
      </x:c>
      <x:c r="B10" s="65" t="n">
        <x:v>81</x:v>
      </x:c>
      <x:c r="C10" s="66" t="n">
        <x:v>81</x:v>
      </x:c>
      <x:c r="D10" s="64" t="n">
        <x:v>8</x:v>
      </x:c>
      <x:c r="E10" s="65" t="n">
        <x:v>8</x:v>
      </x:c>
      <x:c r="F10" s="66" t="n">
        <x:v>8</x:v>
      </x:c>
      <x:c r="G10" s="71" t="str">
        <x:v>2</x:v>
      </x:c>
      <x:c r="H10" s="76" t="str">
        <x:v>The fastest content win is already published</x:v>
      </x:c>
      <x:c r="I10" s="76"/>
      <x:c r="J10" s="76"/>
      <x:c r="K10" s="80" t="str">
        <x:v>The marketing-plan page ranks around 18 for its primary term and can be upgraded into the category's best template-led resource.</x:v>
      </x:c>
      <x:c r="L10" s="80"/>
      <x:c r="M10" s="80"/>
      <x:c r="N10" s="80"/>
      <x:c r="O10" s="80"/>
      <x:c r="P10" s="80"/>
    </x:row>
    <x:row r="11" ht="52" customHeight="1">
      <x:c r="G11" s="71" t="str">
        <x:v>3</x:v>
      </x:c>
      <x:c r="H11" s="76" t="str">
        <x:v>Turnkey owns a differentiating niche</x:v>
      </x:c>
      <x:c r="I11" s="76"/>
      <x:c r="J11" s="76"/>
      <x:c r="K11" s="80" t="str">
        <x:v>Outsourced marketing director terms already reach positions 4 and 10; align them to the VIP Marketing Manager page.</x:v>
      </x:c>
      <x:c r="L11" s="80"/>
      <x:c r="M11" s="80"/>
      <x:c r="N11" s="80"/>
      <x:c r="O11" s="80"/>
      <x:c r="P11" s="80"/>
    </x:row>
    <x:row r="12" ht="52" customHeight="1">
      <x:c r="G12" s="71" t="str">
        <x:v>4</x:v>
      </x:c>
      <x:c r="H12" s="76" t="str">
        <x:v>Comparison and ideas formats are missing</x:v>
      </x:c>
      <x:c r="I12" s="76"/>
      <x:c r="J12" s="76"/>
      <x:c r="K12" s="80" t="str">
        <x:v>Competitors capture companies, plan, strategy and ideas searches with current guides, lists, scorecards and templates.</x:v>
      </x:c>
      <x:c r="L12" s="80"/>
      <x:c r="M12" s="80"/>
      <x:c r="N12" s="80"/>
      <x:c r="O12" s="80"/>
      <x:c r="P12" s="80"/>
    </x:row>
    <x:row r="13" ht="52" customHeight="1">
      <x:c r="A13" s="16" t="str">
        <x:v>90-day implementation sequence</x:v>
      </x:c>
      <x:c r="B13" s="16" t="str">
        <x:v>90-day implementation sequence</x:v>
      </x:c>
      <x:c r="C13" s="16" t="str">
        <x:v>90-day implementation sequence</x:v>
      </x:c>
      <x:c r="D13" s="16" t="str">
        <x:v>90-day implementation sequence</x:v>
      </x:c>
      <x:c r="E13" s="16" t="str">
        <x:v>90-day implementation sequence</x:v>
      </x:c>
      <x:c r="F13" s="16" t="str">
        <x:v>90-day implementation sequence</x:v>
      </x:c>
      <x:c r="G13" s="71" t="str">
        <x:v>5</x:v>
      </x:c>
      <x:c r="H13" s="76" t="str">
        <x:v>Authority is too concentrated</x:v>
      </x:c>
      <x:c r="I13" s="76"/>
      <x:c r="J13" s="76"/>
      <x:c r="K13" s="80" t="str">
        <x:v>SE Ranking finds 81 referring domains but only 8 linked pages, versus 132–322 linked pages for larger category leaders.</x:v>
      </x:c>
      <x:c r="L13" s="80"/>
      <x:c r="M13" s="80"/>
      <x:c r="N13" s="80"/>
      <x:c r="O13" s="80"/>
      <x:c r="P13" s="80"/>
    </x:row>
    <x:row r="14" ht="48" customHeight="1">
      <x:c r="A14" s="84" t="str">
        <x:v>Weeks 1–2</x:v>
      </x:c>
      <x:c r="B14" s="84"/>
      <x:c r="C14" s="88" t="str">
        <x:v>Consolidate homepage + services targeting; optimize VIP page; expand marketing-plan brief into production copy.</x:v>
      </x:c>
      <x:c r="D14" s="88"/>
      <x:c r="E14" s="88"/>
      <x:c r="F14" s="88"/>
    </x:row>
    <x:row r="15" ht="48" customHeight="1">
      <x:c r="A15" s="84" t="str">
        <x:v>Weeks 3–5</x:v>
      </x:c>
      <x:c r="B15" s="84"/>
      <x:c r="C15" s="88" t="str">
        <x:v>Publish updated marketing plan + template; split direct-mail intent; optimize digital page scope accurately.</x:v>
      </x:c>
      <x:c r="D15" s="88"/>
      <x:c r="E15" s="88"/>
      <x:c r="F15" s="88"/>
    </x:row>
    <x:row r="16" ht="48" customHeight="1">
      <x:c r="A16" s="84" t="str">
        <x:v>Weeks 6–9</x:v>
      </x:c>
      <x:c r="B16" s="84"/>
      <x:c r="C16" s="88" t="str">
        <x:v>Publish companies buyer's guide and marketing-ideas playbook; launch audit scorecard.</x:v>
      </x:c>
      <x:c r="D16" s="88"/>
      <x:c r="E16" s="88"/>
      <x:c r="F16" s="88"/>
    </x:row>
    <x:row r="17" ht="48" customHeight="1">
      <x:c r="A17" s="84" t="str">
        <x:v>Weeks 10–12</x:v>
      </x:c>
      <x:c r="B17" s="84"/>
      <x:c r="C17" s="88" t="str">
        <x:v>Add proof/case-study assets, outreach for links, strengthen internal links and review GSC consolidation.</x:v>
      </x:c>
      <x:c r="D17" s="88"/>
      <x:c r="E17" s="88"/>
      <x:c r="F17" s="88"/>
    </x:row>
    <x:row r="19">
      <x:c r="A19" s="16" t="str">
        <x:v>Score check for the first eight planned opportunities</x:v>
      </x:c>
      <x:c r="B19" s="16" t="str">
        <x:v>Score check for the first eight planned opportunities</x:v>
      </x:c>
      <x:c r="C19" s="16" t="str">
        <x:v>Score check for the first eight planned opportunities</x:v>
      </x:c>
      <x:c r="D19" s="16" t="str">
        <x:v>Score check for the first eight planned opportunities</x:v>
      </x:c>
      <x:c r="E19" s="16" t="str">
        <x:v>Score check for the first eight planned opportunities</x:v>
      </x:c>
      <x:c r="F19" s="16" t="str">
        <x:v>Score check for the first eight planned opportunities</x:v>
      </x:c>
      <x:c r="G19" s="16" t="str">
        <x:v>Score check for the first eight planned opportunities</x:v>
      </x:c>
      <x:c r="H19" s="16" t="str">
        <x:v>Score check for the first eight planned opportunities</x:v>
      </x:c>
      <x:c r="I19" s="16" t="str">
        <x:v>Score check for the first eight planned opportunities</x:v>
      </x:c>
      <x:c r="J19" s="16" t="str">
        <x:v>Score check for the first eight planned opportunities</x:v>
      </x:c>
      <x:c r="K19" s="16" t="str">
        <x:v>Score check for the first eight planned opportunities</x:v>
      </x:c>
      <x:c r="L19" s="16" t="str">
        <x:v>Score check for the first eight planned opportunities</x:v>
      </x:c>
      <x:c r="M19" s="16" t="str">
        <x:v>Score check for the first eight planned opportunities</x:v>
      </x:c>
      <x:c r="N19" s="16" t="str">
        <x:v>Score check for the first eight planned opportunities</x:v>
      </x:c>
      <x:c r="O19" s="16" t="str">
        <x:v>Score check for the first eight planned opportunities</x:v>
      </x:c>
      <x:c r="P19" s="16" t="str">
        <x:v>Score check for the first eight planned opportunities</x:v>
      </x:c>
    </x:row>
    <x:row r="20" ht="32" customHeight="1">
      <x:c r="A20" s="21" t="str">
        <x:v>Opportunity</x:v>
      </x:c>
      <x:c r="B20" s="21" t="str">
        <x:v>Score</x:v>
      </x:c>
    </x:row>
    <x:row r="21">
      <x:c r="A21" s="24" t="str">
        <x:f>'Priority Keywords'!B6</x:f>
        <x:v>auto repair marketing plan</x:v>
      </x:c>
      <x:c r="B21" s="28" t="n">
        <x:f>'Priority Keywords'!O6</x:f>
        <x:v>2</x:v>
      </x:c>
    </x:row>
    <x:row r="22">
      <x:c r="A22" s="24" t="str">
        <x:f>'Priority Keywords'!B7</x:f>
        <x:v>outsourced marketing director auto repair</x:v>
      </x:c>
      <x:c r="B22" s="28" t="n">
        <x:f>'Priority Keywords'!O7</x:f>
        <x:v>1.9</x:v>
      </x:c>
    </x:row>
    <x:row r="23">
      <x:c r="A23" s="24" t="str">
        <x:f>'Priority Keywords'!B8</x:f>
        <x:v>auto repair marketing agency</x:v>
      </x:c>
      <x:c r="B23" s="28" t="n">
        <x:f>'Priority Keywords'!O8</x:f>
        <x:v>2</x:v>
      </x:c>
    </x:row>
    <x:row r="24">
      <x:c r="A24" s="24" t="str">
        <x:f>'Priority Keywords'!B9</x:f>
        <x:v>auto repair marketing companies</x:v>
      </x:c>
      <x:c r="B24" s="28" t="n">
        <x:f>'Priority Keywords'!O9</x:f>
        <x:v>1.2</x:v>
      </x:c>
    </x:row>
    <x:row r="25">
      <x:c r="A25" s="24" t="str">
        <x:f>'Priority Keywords'!B10</x:f>
        <x:v>auto repair direct mail</x:v>
      </x:c>
      <x:c r="B25" s="28" t="n">
        <x:f>'Priority Keywords'!O10</x:f>
        <x:v>1.3</x:v>
      </x:c>
    </x:row>
    <x:row r="26">
      <x:c r="A26" s="24" t="str">
        <x:f>'Priority Keywords'!B11</x:f>
        <x:v>auto repair marketing services</x:v>
      </x:c>
      <x:c r="B26" s="28" t="n">
        <x:f>'Priority Keywords'!O11</x:f>
        <x:v>1.8</x:v>
      </x:c>
    </x:row>
    <x:row r="27">
      <x:c r="A27" s="24" t="str">
        <x:f>'Priority Keywords'!B12</x:f>
        <x:v>auto repair marketing ideas</x:v>
      </x:c>
      <x:c r="B27" s="28" t="n">
        <x:f>'Priority Keywords'!O12</x:f>
        <x:v>1.2</x:v>
      </x:c>
    </x:row>
    <x:row r="28">
      <x:c r="A28" s="24" t="str">
        <x:f>'Priority Keywords'!B13</x:f>
        <x:v>digital marketing for auto repair shops</x:v>
      </x:c>
      <x:c r="B28" s="28" t="n">
        <x:f>'Priority Keywords'!O13</x:f>
        <x:v>1.8</x:v>
      </x:c>
    </x:row>
    <x:row r="36">
      <x:c r="A36" s="103" t="str">
        <x:v>Decision rule: ship the existing-page wins first, then publish template/list/scorecard assets that can earn both rankings and links. Keep SEO/PPC/website design educational unless Turnkey expands its formal service offer.</x:v>
      </x:c>
      <x:c r="B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C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D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E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F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G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H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I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J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K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L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M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N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O36" s="104" t="str">
        <x:v>Decision rule: ship the existing-page wins first, then publish template/list/scorecard assets that can earn both rankings and links. Keep SEO/PPC/website design educational unless Turnkey expands its formal service offer.</x:v>
      </x:c>
      <x:c r="P36" s="105" t="str">
        <x:v>Decision rule: ship the existing-page wins first, then publish template/list/scorecard assets that can earn both rankings and links. Keep SEO/PPC/website design educational unless Turnkey expands its formal service offer.</x:v>
      </x:c>
    </x:row>
    <x:row r="37">
      <x:c r="A37" s="106" t="str">
        <x:v>Decision rule: ship the existing-page wins first, then publish template/list/scorecard assets that can earn both rankings and links. Keep SEO/PPC/website design educational unless Turnkey expands its formal service offer.</x:v>
      </x:c>
      <x:c r="B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C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D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E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F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G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H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I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J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K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L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M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N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O37" s="107" t="str">
        <x:v>Decision rule: ship the existing-page wins first, then publish template/list/scorecard assets that can earn both rankings and links. Keep SEO/PPC/website design educational unless Turnkey expands its formal service offer.</x:v>
      </x:c>
      <x:c r="P37" s="108" t="str">
        <x:v>Decision rule: ship the existing-page wins first, then publish template/list/scorecard assets that can earn both rankings and links. Keep SEO/PPC/website design educational unless Turnkey expands its formal service offer.</x:v>
      </x:c>
    </x:row>
  </x:sheetData>
  <x:mergeCells>
    <x:mergeCell ref="A1:P2"/>
    <x:mergeCell ref="A3:P3"/>
    <x:mergeCell ref="A4:C4"/>
    <x:mergeCell ref="A5:C6"/>
    <x:mergeCell ref="D4:F4"/>
    <x:mergeCell ref="D5:F6"/>
    <x:mergeCell ref="G4:I4"/>
    <x:mergeCell ref="G5:I6"/>
    <x:mergeCell ref="J4:L4"/>
    <x:mergeCell ref="J5:L6"/>
    <x:mergeCell ref="M4:O4"/>
    <x:mergeCell ref="M5:O6"/>
    <x:mergeCell ref="A8:C8"/>
    <x:mergeCell ref="A9:C10"/>
    <x:mergeCell ref="D8:F8"/>
    <x:mergeCell ref="D9:F10"/>
    <x:mergeCell ref="G8:P8"/>
    <x:mergeCell ref="H9:J9"/>
    <x:mergeCell ref="K9:P9"/>
    <x:mergeCell ref="H10:J10"/>
    <x:mergeCell ref="K10:P10"/>
    <x:mergeCell ref="H11:J11"/>
    <x:mergeCell ref="K11:P11"/>
    <x:mergeCell ref="H12:J12"/>
    <x:mergeCell ref="K12:P12"/>
    <x:mergeCell ref="H13:J13"/>
    <x:mergeCell ref="K13:P13"/>
    <x:mergeCell ref="A13:F13"/>
    <x:mergeCell ref="A14:B14"/>
    <x:mergeCell ref="C14:F14"/>
    <x:mergeCell ref="A15:B15"/>
    <x:mergeCell ref="C15:F15"/>
    <x:mergeCell ref="A16:B16"/>
    <x:mergeCell ref="C16:F16"/>
    <x:mergeCell ref="A17:B17"/>
    <x:mergeCell ref="C17:F17"/>
    <x:mergeCell ref="A19:P19"/>
    <x:mergeCell ref="A36:P37"/>
  </x:mergeCells>
  <x:pageMargins left="0.7" right="0.7" top="0.75" bottom="0.75" header="0.3" footer="0.3"/>
  <x:drawing xmlns:r="http://schemas.openxmlformats.org/officeDocument/2006/relationships" r:id="R071d3bdc3a6c42d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3" hidden="0" customWidth="1"/>
    <x:col min="4" max="4" width="54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56" hidden="0" customWidth="1"/>
  </x:cols>
  <x:sheetData>
    <x:row r="1" ht="28" customHeight="1">
      <x:c r="A1" s="3" t="str">
        <x:v>Priority Keyword Scorecard</x:v>
      </x:c>
      <x:c r="B1" s="3" t="str">
        <x:v>Priority Keyword Scorecard</x:v>
      </x:c>
      <x:c r="C1" s="3" t="str">
        <x:v>Priority Keyword Scorecard</x:v>
      </x:c>
      <x:c r="D1" s="3" t="str">
        <x:v>Priority Keyword Scorecard</x:v>
      </x:c>
      <x:c r="E1" s="3" t="str">
        <x:v>Priority Keyword Scorecard</x:v>
      </x:c>
      <x:c r="F1" s="3" t="str">
        <x:v>Priority Keyword Scorecard</x:v>
      </x:c>
      <x:c r="G1" s="3" t="str">
        <x:v>Priority Keyword Scorecard</x:v>
      </x:c>
      <x:c r="H1" s="3" t="str">
        <x:v>Priority Keyword Scorecard</x:v>
      </x:c>
      <x:c r="I1" s="3" t="str">
        <x:v>Priority Keyword Scorecard</x:v>
      </x:c>
      <x:c r="J1" s="3" t="str">
        <x:v>Priority Keyword Scorecard</x:v>
      </x:c>
      <x:c r="K1" s="3" t="str">
        <x:v>Priority Keyword Scorecard</x:v>
      </x:c>
      <x:c r="L1" s="3" t="str">
        <x:v>Priority Keyword Scorecard</x:v>
      </x:c>
      <x:c r="M1" s="3" t="str">
        <x:v>Priority Keyword Scorecard</x:v>
      </x:c>
      <x:c r="N1" s="3" t="str">
        <x:v>Priority Keyword Scorecard</x:v>
      </x:c>
      <x:c r="O1" s="3" t="str">
        <x:v>Priority Keyword Scorecard</x:v>
      </x:c>
      <x:c r="P1" s="3" t="str">
        <x:v>Priority Keyword Scorecard</x:v>
      </x:c>
      <x:c r="Q1" s="3" t="str">
        <x:v>Priority Keyword Scorecard</x:v>
      </x:c>
    </x:row>
    <x:row r="2" ht="28" customHeight="1">
      <x:c r="A2" s="3" t="str">
        <x:v>Priority Keyword Scorecard</x:v>
      </x:c>
      <x:c r="B2" s="3" t="str">
        <x:v>Priority Keyword Scorecard</x:v>
      </x:c>
      <x:c r="C2" s="3" t="str">
        <x:v>Priority Keyword Scorecard</x:v>
      </x:c>
      <x:c r="D2" s="3" t="str">
        <x:v>Priority Keyword Scorecard</x:v>
      </x:c>
      <x:c r="E2" s="3" t="str">
        <x:v>Priority Keyword Scorecard</x:v>
      </x:c>
      <x:c r="F2" s="3" t="str">
        <x:v>Priority Keyword Scorecard</x:v>
      </x:c>
      <x:c r="G2" s="3" t="str">
        <x:v>Priority Keyword Scorecard</x:v>
      </x:c>
      <x:c r="H2" s="3" t="str">
        <x:v>Priority Keyword Scorecard</x:v>
      </x:c>
      <x:c r="I2" s="3" t="str">
        <x:v>Priority Keyword Scorecard</x:v>
      </x:c>
      <x:c r="J2" s="3" t="str">
        <x:v>Priority Keyword Scorecard</x:v>
      </x:c>
      <x:c r="K2" s="3" t="str">
        <x:v>Priority Keyword Scorecard</x:v>
      </x:c>
      <x:c r="L2" s="3" t="str">
        <x:v>Priority Keyword Scorecard</x:v>
      </x:c>
      <x:c r="M2" s="3" t="str">
        <x:v>Priority Keyword Scorecard</x:v>
      </x:c>
      <x:c r="N2" s="3" t="str">
        <x:v>Priority Keyword Scorecard</x:v>
      </x:c>
      <x:c r="O2" s="3" t="str">
        <x:v>Priority Keyword Scorecard</x:v>
      </x:c>
      <x:c r="P2" s="3" t="str">
        <x:v>Priority Keyword Scorecard</x:v>
      </x:c>
      <x:c r="Q2" s="3" t="str">
        <x:v>Priority Keyword Scorecard</x:v>
      </x:c>
    </x:row>
    <x:row r="3" ht="28" customHeight="1">
      <x:c r="A3" s="7" t="str">
        <x:v>Scores combine first-party GSC demand, SE Ranking demand/difficulty/current rank, business fit, existing-asset leverage and implementation effort.</x:v>
      </x:c>
      <x:c r="B3" s="7" t="str">
        <x:v>Scores combine first-party GSC demand, SE Ranking demand/difficulty/current rank, business fit, existing-asset leverage and implementation effort.</x:v>
      </x:c>
      <x:c r="C3" s="7" t="str">
        <x:v>Scores combine first-party GSC demand, SE Ranking demand/difficulty/current rank, business fit, existing-asset leverage and implementation effort.</x:v>
      </x:c>
      <x:c r="D3" s="7" t="str">
        <x:v>Scores combine first-party GSC demand, SE Ranking demand/difficulty/current rank, business fit, existing-asset leverage and implementation effort.</x:v>
      </x:c>
      <x:c r="E3" s="7" t="str">
        <x:v>Scores combine first-party GSC demand, SE Ranking demand/difficulty/current rank, business fit, existing-asset leverage and implementation effort.</x:v>
      </x:c>
      <x:c r="F3" s="7" t="str">
        <x:v>Scores combine first-party GSC demand, SE Ranking demand/difficulty/current rank, business fit, existing-asset leverage and implementation effort.</x:v>
      </x:c>
      <x:c r="G3" s="7" t="str">
        <x:v>Scores combine first-party GSC demand, SE Ranking demand/difficulty/current rank, business fit, existing-asset leverage and implementation effort.</x:v>
      </x:c>
      <x:c r="H3" s="7" t="str">
        <x:v>Scores combine first-party GSC demand, SE Ranking demand/difficulty/current rank, business fit, existing-asset leverage and implementation effort.</x:v>
      </x:c>
      <x:c r="I3" s="7" t="str">
        <x:v>Scores combine first-party GSC demand, SE Ranking demand/difficulty/current rank, business fit, existing-asset leverage and implementation effort.</x:v>
      </x:c>
      <x:c r="J3" s="7" t="str">
        <x:v>Scores combine first-party GSC demand, SE Ranking demand/difficulty/current rank, business fit, existing-asset leverage and implementation effort.</x:v>
      </x:c>
      <x:c r="K3" s="7" t="str">
        <x:v>Scores combine first-party GSC demand, SE Ranking demand/difficulty/current rank, business fit, existing-asset leverage and implementation effort.</x:v>
      </x:c>
      <x:c r="L3" s="7" t="str">
        <x:v>Scores combine first-party GSC demand, SE Ranking demand/difficulty/current rank, business fit, existing-asset leverage and implementation effort.</x:v>
      </x:c>
      <x:c r="M3" s="7" t="str">
        <x:v>Scores combine first-party GSC demand, SE Ranking demand/difficulty/current rank, business fit, existing-asset leverage and implementation effort.</x:v>
      </x:c>
      <x:c r="N3" s="7" t="str">
        <x:v>Scores combine first-party GSC demand, SE Ranking demand/difficulty/current rank, business fit, existing-asset leverage and implementation effort.</x:v>
      </x:c>
      <x:c r="O3" s="7" t="str">
        <x:v>Scores combine first-party GSC demand, SE Ranking demand/difficulty/current rank, business fit, existing-asset leverage and implementation effort.</x:v>
      </x:c>
      <x:c r="P3" s="7" t="str">
        <x:v>Scores combine first-party GSC demand, SE Ranking demand/difficulty/current rank, business fit, existing-asset leverage and implementation effort.</x:v>
      </x:c>
      <x:c r="Q3" s="7" t="str">
        <x:v>Scores combine first-party GSC demand, SE Ranking demand/difficulty/current rank, business fit, existing-asset leverage and implementation effort.</x:v>
      </x:c>
    </x:row>
    <x:row r="5">
      <x:c r="A5" t="str">
        <x:v>Cluster</x:v>
      </x:c>
      <x:c r="B5" t="str">
        <x:v>Primary keyword</x:v>
      </x:c>
      <x:c r="C5" t="str">
        <x:v>Intent</x:v>
      </x:c>
      <x:c r="D5" t="str">
        <x:v>Recommended URL</x:v>
      </x:c>
      <x:c r="E5" t="str">
        <x:v>Action</x:v>
      </x:c>
      <x:c r="F5" t="str">
        <x:v>GSC impressions</x:v>
      </x:c>
      <x:c r="G5" t="str">
        <x:v>GSC clicks</x:v>
      </x:c>
      <x:c r="H5" t="str">
        <x:v>GSC avg position</x:v>
      </x:c>
      <x:c r="I5" t="str">
        <x:v>SE volume</x:v>
      </x:c>
      <x:c r="J5" t="str">
        <x:v>SE difficulty</x:v>
      </x:c>
      <x:c r="K5" t="str">
        <x:v>SE current position</x:v>
      </x:c>
      <x:c r="L5" t="str">
        <x:v>Business fit (1–5)</x:v>
      </x:c>
      <x:c r="M5" t="str">
        <x:v>Asset leverage (1–5)</x:v>
      </x:c>
      <x:c r="N5" t="str">
        <x:v>Effort (1–5)</x:v>
      </x:c>
      <x:c r="O5" t="str">
        <x:v>Opportunity score</x:v>
      </x:c>
      <x:c r="P5" t="str">
        <x:v>Priority</x:v>
      </x:c>
      <x:c r="Q5" t="str">
        <x:v>Why now</x:v>
      </x:c>
    </x:row>
    <x:row r="6" ht="52" customHeight="1">
      <x:c r="A6" s="26" t="str">
        <x:v>Marketing Plan / Strategy</x:v>
      </x:c>
      <x:c r="B6" s="26" t="str">
        <x:v>auto repair marketing plan</x:v>
      </x:c>
      <x:c r="C6" s="26" t="str">
        <x:v>Informational</x:v>
      </x:c>
      <x:c r="D6" s="26" t="str">
        <x:v>/resources/auto-repair-marketing-plan</x:v>
      </x:c>
      <x:c r="E6" s="26" t="str">
        <x:v>Expand existing + one-page template</x:v>
      </x:c>
      <x:c r="F6" s="30" t="n">
        <x:f>SUMIF('GSC Queries 28d'!$F$6:$F$380,A6,'GSC Queries 28d'!$C$6:$C$380)</x:f>
        <x:v>521</x:v>
      </x:c>
      <x:c r="G6" s="30" t="n">
        <x:f>SUMIF('GSC Queries 28d'!$F$6:$F$380,A6,'GSC Queries 28d'!$B$6:$B$380)</x:f>
        <x:v>0</x:v>
      </x:c>
      <x:c r="H6" s="31" t="n">
        <x:f>IFERROR(SUMIF('GSC Queries 28d'!$F$6:$F$380,A6,'GSC Queries 28d'!$G$6:$G$380)/F6,"")</x:f>
        <x:v>31.756007677543188</x:v>
      </x:c>
      <x:c r="I6" s="32" t="n">
        <x:f>IFERROR(INDEX('SE Keyword Research'!$B$6:$B$349,MATCH(B6,'SE Keyword Research'!$A$6:$A$349,0)),0)</x:f>
        <x:v>110</x:v>
      </x:c>
      <x:c r="J6" s="32" t="n">
        <x:f>IFERROR(INDEX('SE Keyword Research'!$C$6:$C$349,MATCH(B6,'SE Keyword Research'!$A$6:$A$349,0)),50)</x:f>
        <x:v>19</x:v>
      </x:c>
      <x:c r="K6" s="32" t="n">
        <x:f>IFERROR(INDEX('SE Rank Tracking'!$B$6:$B$132,MATCH(B6,'SE Rank Tracking'!$A$6:$A$132,0)),101)</x:f>
        <x:v>18</x:v>
      </x:c>
      <x:c r="L6" s="26" t="n">
        <x:v>5</x:v>
      </x:c>
      <x:c r="M6" s="26" t="n">
        <x:v>4</x:v>
      </x:c>
      <x:c r="N6" s="26" t="n">
        <x:v>2</x:v>
      </x:c>
      <x:c r="O6" s="31" t="n">
        <x:f>ROUND(((MIN(F6/'Sources &amp; Assumptions'!$B$15,5)*'Sources &amp; Assumptions'!$B$7)+(MIN(I6/'Sources &amp; Assumptions'!$B$16,5)*'Sources &amp; Assumptions'!$B$8)+((5-MIN(J6/20,5))*'Sources &amp; Assumptions'!$B$9)+(L6*'Sources &amp; Assumptions'!$B$10)+(M6*'Sources &amp; Assumptions'!$B$11))/(N6*'Sources &amp; Assumptions'!$B$12),1)</x:f>
        <x:v>2</x:v>
      </x:c>
      <x:c r="P6" s="26" t="str">
        <x:f>IF(O6&gt;=1.75,"Now",IF(O6&gt;=1,"Next",IF(O6&gt;=0.65,"Later","Backlog")))</x:f>
        <x:v>Now</x:v>
      </x:c>
      <x:c r="Q6" s="26" t="str">
        <x:v>Quick win: current page is already near page one/two and has strong GSC demand.</x:v>
      </x:c>
    </x:row>
    <x:row r="7" ht="52" customHeight="1">
      <x:c r="A7" s="26" t="str">
        <x:v>Outsourced Marketing Director</x:v>
      </x:c>
      <x:c r="B7" s="26" t="str">
        <x:v>outsourced marketing director auto repair</x:v>
      </x:c>
      <x:c r="C7" s="26" t="str">
        <x:v>Commercial</x:v>
      </x:c>
      <x:c r="D7" s="26" t="str">
        <x:v>/services/vip-marketing-manager</x:v>
      </x:c>
      <x:c r="E7" s="26" t="str">
        <x:v>Optimize existing</x:v>
      </x:c>
      <x:c r="F7" s="30" t="n">
        <x:f>SUMIF('GSC Queries 28d'!$F$6:$F$380,A7,'GSC Queries 28d'!$C$6:$C$380)</x:f>
        <x:v>202</x:v>
      </x:c>
      <x:c r="G7" s="30" t="n">
        <x:f>SUMIF('GSC Queries 28d'!$F$6:$F$380,A7,'GSC Queries 28d'!$B$6:$B$380)</x:f>
        <x:v>0</x:v>
      </x:c>
      <x:c r="H7" s="31" t="n">
        <x:f>IFERROR(SUMIF('GSC Queries 28d'!$F$6:$F$380,A7,'GSC Queries 28d'!$G$6:$G$380)/F7,"")</x:f>
        <x:v>18.39094059405941</x:v>
      </x:c>
      <x:c r="I7" s="32" t="n">
        <x:f>IFERROR(INDEX('SE Keyword Research'!$B$6:$B$349,MATCH(B7,'SE Keyword Research'!$A$6:$A$349,0)),0)</x:f>
        <x:v>0</x:v>
      </x:c>
      <x:c r="J7" s="32" t="str">
        <x:f>IFERROR(INDEX('SE Keyword Research'!$C$6:$C$349,MATCH(B7,'SE Keyword Research'!$A$6:$A$349,0)),50)</x:f>
      </x:c>
      <x:c r="K7" s="32" t="n">
        <x:f>IFERROR(INDEX('SE Rank Tracking'!$B$6:$B$132,MATCH(B7,'SE Rank Tracking'!$A$6:$A$132,0)),101)</x:f>
        <x:v>4</x:v>
      </x:c>
      <x:c r="L7" s="26" t="n">
        <x:v>5</x:v>
      </x:c>
      <x:c r="M7" s="26" t="n">
        <x:v>5</x:v>
      </x:c>
      <x:c r="N7" s="26" t="n">
        <x:v>2</x:v>
      </x:c>
      <x:c r="O7" s="31" t="n">
        <x:f>ROUND(((MIN(F7/'Sources &amp; Assumptions'!$B$15,5)*'Sources &amp; Assumptions'!$B$7)+(MIN(I7/'Sources &amp; Assumptions'!$B$16,5)*'Sources &amp; Assumptions'!$B$8)+((5-MIN(J7/20,5))*'Sources &amp; Assumptions'!$B$9)+(L7*'Sources &amp; Assumptions'!$B$10)+(M7*'Sources &amp; Assumptions'!$B$11))/(N7*'Sources &amp; Assumptions'!$B$12),1)</x:f>
        <x:v>1.9</x:v>
      </x:c>
      <x:c r="P7" s="26" t="str">
        <x:f>IF(O7&gt;=1.75,"Now",IF(O7&gt;=1,"Next",IF(O7&gt;=0.65,"Later","Backlog")))</x:f>
        <x:v>Now</x:v>
      </x:c>
      <x:c r="Q7" s="26" t="str">
        <x:v>Protect and expand a top-4/top-10 high-fit niche where Turnkey is unusually differentiated.</x:v>
      </x:c>
    </x:row>
    <x:row r="8" ht="52" customHeight="1">
      <x:c r="A8" s="26" t="str">
        <x:v>Agency / Consultant</x:v>
      </x:c>
      <x:c r="B8" s="26" t="str">
        <x:v>auto repair marketing agency</x:v>
      </x:c>
      <x:c r="C8" s="26" t="str">
        <x:v>Commercial</x:v>
      </x:c>
      <x:c r="D8" s="26" t="str">
        <x:v>/</x:v>
      </x:c>
      <x:c r="E8" s="26" t="str">
        <x:v>Consolidate homepage target</x:v>
      </x:c>
      <x:c r="F8" s="30" t="n">
        <x:f>SUMIF('GSC Queries 28d'!$F$6:$F$380,A8,'GSC Queries 28d'!$C$6:$C$380)</x:f>
        <x:v>1325</x:v>
      </x:c>
      <x:c r="G8" s="30" t="n">
        <x:f>SUMIF('GSC Queries 28d'!$F$6:$F$380,A8,'GSC Queries 28d'!$B$6:$B$380)</x:f>
        <x:v>1</x:v>
      </x:c>
      <x:c r="H8" s="31" t="n">
        <x:f>IFERROR(SUMIF('GSC Queries 28d'!$F$6:$F$380,A8,'GSC Queries 28d'!$G$6:$G$380)/F8,"")</x:f>
        <x:v>18.410415094339626</x:v>
      </x:c>
      <x:c r="I8" s="32" t="n">
        <x:f>IFERROR(INDEX('SE Keyword Research'!$B$6:$B$349,MATCH(B8,'SE Keyword Research'!$A$6:$A$349,0)),0)</x:f>
        <x:v>40</x:v>
      </x:c>
      <x:c r="J8" s="32" t="n">
        <x:f>IFERROR(INDEX('SE Keyword Research'!$C$6:$C$349,MATCH(B8,'SE Keyword Research'!$A$6:$A$349,0)),50)</x:f>
        <x:v>14</x:v>
      </x:c>
      <x:c r="K8" s="32" t="n">
        <x:f>IFERROR(INDEX('SE Rank Tracking'!$B$6:$B$132,MATCH(B8,'SE Rank Tracking'!$A$6:$A$132,0)),101)</x:f>
        <x:v>19</x:v>
      </x:c>
      <x:c r="L8" s="26" t="n">
        <x:v>5</x:v>
      </x:c>
      <x:c r="M8" s="26" t="n">
        <x:v>5</x:v>
      </x:c>
      <x:c r="N8" s="26" t="n">
        <x:v>2</x:v>
      </x:c>
      <x:c r="O8" s="31" t="n">
        <x:f>ROUND(((MIN(F8/'Sources &amp; Assumptions'!$B$15,5)*'Sources &amp; Assumptions'!$B$7)+(MIN(I8/'Sources &amp; Assumptions'!$B$16,5)*'Sources &amp; Assumptions'!$B$8)+((5-MIN(J8/20,5))*'Sources &amp; Assumptions'!$B$9)+(L8*'Sources &amp; Assumptions'!$B$10)+(M8*'Sources &amp; Assumptions'!$B$11))/(N8*'Sources &amp; Assumptions'!$B$12),1)</x:f>
        <x:v>2</x:v>
      </x:c>
      <x:c r="P8" s="26" t="str">
        <x:f>IF(O8&gt;=1.75,"Now",IF(O8&gt;=1,"Next",IF(O8&gt;=0.65,"Later","Backlog")))</x:f>
        <x:v>Now</x:v>
      </x:c>
      <x:c r="Q8" s="26" t="str">
        <x:v>Make the homepage the single canonical commercial answer for agency/company/consultant variants.</x:v>
      </x:c>
    </x:row>
    <x:row r="9" ht="52" customHeight="1">
      <x:c r="A9" s="26" t="str">
        <x:v>Comparison / Companies</x:v>
      </x:c>
      <x:c r="B9" s="26" t="str">
        <x:v>auto repair marketing companies</x:v>
      </x:c>
      <x:c r="C9" s="26" t="str">
        <x:v>Commercial research</x:v>
      </x:c>
      <x:c r="D9" s="26" t="str">
        <x:v>/resources/best-auto-repair-marketing-companies</x:v>
      </x:c>
      <x:c r="E9" s="26" t="str">
        <x:v>Create buyer's guide</x:v>
      </x:c>
      <x:c r="F9" s="30" t="n">
        <x:f>SUMIF('GSC Queries 28d'!$F$6:$F$380,A9,'GSC Queries 28d'!$C$6:$C$380)</x:f>
        <x:v>430</x:v>
      </x:c>
      <x:c r="G9" s="30" t="n">
        <x:f>SUMIF('GSC Queries 28d'!$F$6:$F$380,A9,'GSC Queries 28d'!$B$6:$B$380)</x:f>
        <x:v>0</x:v>
      </x:c>
      <x:c r="H9" s="31" t="n">
        <x:f>IFERROR(SUMIF('GSC Queries 28d'!$F$6:$F$380,A9,'GSC Queries 28d'!$G$6:$G$380)/F9,"")</x:f>
        <x:v>21.132837209302327</x:v>
      </x:c>
      <x:c r="I9" s="32" t="n">
        <x:f>IFERROR(INDEX('SE Keyword Research'!$B$6:$B$349,MATCH(B9,'SE Keyword Research'!$A$6:$A$349,0)),0)</x:f>
        <x:v>70</x:v>
      </x:c>
      <x:c r="J9" s="32" t="n">
        <x:f>IFERROR(INDEX('SE Keyword Research'!$C$6:$C$349,MATCH(B9,'SE Keyword Research'!$A$6:$A$349,0)),50)</x:f>
        <x:v>22</x:v>
      </x:c>
      <x:c r="K9" s="32" t="n">
        <x:f>IFERROR(INDEX('SE Rank Tracking'!$B$6:$B$132,MATCH(B9,'SE Rank Tracking'!$A$6:$A$132,0)),101)</x:f>
        <x:v>101</x:v>
      </x:c>
      <x:c r="L9" s="26" t="n">
        <x:v>5</x:v>
      </x:c>
      <x:c r="M9" s="26" t="n">
        <x:v>2</x:v>
      </x:c>
      <x:c r="N9" s="26" t="n">
        <x:v>3</x:v>
      </x:c>
      <x:c r="O9" s="31" t="n">
        <x:f>ROUND(((MIN(F9/'Sources &amp; Assumptions'!$B$15,5)*'Sources &amp; Assumptions'!$B$7)+(MIN(I9/'Sources &amp; Assumptions'!$B$16,5)*'Sources &amp; Assumptions'!$B$8)+((5-MIN(J9/20,5))*'Sources &amp; Assumptions'!$B$9)+(L9*'Sources &amp; Assumptions'!$B$10)+(M9*'Sources &amp; Assumptions'!$B$11))/(N9*'Sources &amp; Assumptions'!$B$12),1)</x:f>
        <x:v>1.2</x:v>
      </x:c>
      <x:c r="P9" s="26" t="str">
        <x:f>IF(O9&gt;=1.75,"Now",IF(O9&gt;=1,"Next",IF(O9&gt;=0.65,"Later","Backlog")))</x:f>
        <x:v>Next</x:v>
      </x:c>
      <x:c r="Q9" s="26" t="str">
        <x:v>High-impression gap; competitors win with transparent comparison/list formats.</x:v>
      </x:c>
    </x:row>
    <x:row r="10" ht="52" customHeight="1">
      <x:c r="A10" s="26" t="str">
        <x:v>Direct Mail</x:v>
      </x:c>
      <x:c r="B10" s="26" t="str">
        <x:v>auto repair direct mail</x:v>
      </x:c>
      <x:c r="C10" s="26" t="str">
        <x:v>Mixed</x:v>
      </x:c>
      <x:c r="D10" s="26" t="str">
        <x:v>/services/direct-mail + /resources/direct-mail-for-repair-shops</x:v>
      </x:c>
      <x:c r="E10" s="26" t="str">
        <x:v>Split transactional vs informational intent</x:v>
      </x:c>
      <x:c r="F10" s="30" t="n">
        <x:f>SUMIF('GSC Queries 28d'!$F$6:$F$380,A10,'GSC Queries 28d'!$C$6:$C$380)</x:f>
        <x:v>434</x:v>
      </x:c>
      <x:c r="G10" s="30" t="n">
        <x:f>SUMIF('GSC Queries 28d'!$F$6:$F$380,A10,'GSC Queries 28d'!$B$6:$B$380)</x:f>
        <x:v>0</x:v>
      </x:c>
      <x:c r="H10" s="31" t="n">
        <x:f>IFERROR(SUMIF('GSC Queries 28d'!$F$6:$F$380,A10,'GSC Queries 28d'!$G$6:$G$380)/F10,"")</x:f>
        <x:v>46.06668202764977</x:v>
      </x:c>
      <x:c r="I10" s="32" t="n">
        <x:f>IFERROR(INDEX('SE Keyword Research'!$B$6:$B$349,MATCH(B10,'SE Keyword Research'!$A$6:$A$349,0)),0)</x:f>
        <x:v>30</x:v>
      </x:c>
      <x:c r="J10" s="32" t="n">
        <x:f>IFERROR(INDEX('SE Keyword Research'!$C$6:$C$349,MATCH(B10,'SE Keyword Research'!$A$6:$A$349,0)),50)</x:f>
        <x:v>5</x:v>
      </x:c>
      <x:c r="K10" s="32" t="n">
        <x:f>IFERROR(INDEX('SE Rank Tracking'!$B$6:$B$132,MATCH(B10,'SE Rank Tracking'!$A$6:$A$132,0)),101)</x:f>
        <x:v>25</x:v>
      </x:c>
      <x:c r="L10" s="26" t="n">
        <x:v>5</x:v>
      </x:c>
      <x:c r="M10" s="26" t="n">
        <x:v>4</x:v>
      </x:c>
      <x:c r="N10" s="26" t="n">
        <x:v>3</x:v>
      </x:c>
      <x:c r="O10" s="31" t="n">
        <x:f>ROUND(((MIN(F10/'Sources &amp; Assumptions'!$B$15,5)*'Sources &amp; Assumptions'!$B$7)+(MIN(I10/'Sources &amp; Assumptions'!$B$16,5)*'Sources &amp; Assumptions'!$B$8)+((5-MIN(J10/20,5))*'Sources &amp; Assumptions'!$B$9)+(L10*'Sources &amp; Assumptions'!$B$10)+(M10*'Sources &amp; Assumptions'!$B$11))/(N10*'Sources &amp; Assumptions'!$B$12),1)</x:f>
        <x:v>1.3</x:v>
      </x:c>
      <x:c r="P10" s="26" t="str">
        <x:f>IF(O10&gt;=1.75,"Now",IF(O10&gt;=1,"Next",IF(O10&gt;=0.65,"Later","Backlog")))</x:f>
        <x:v>Next</x:v>
      </x:c>
      <x:c r="Q10" s="26" t="str">
        <x:v>Keep service intent on the service page; make the guide examples/cost/ROI focused.</x:v>
      </x:c>
    </x:row>
    <x:row r="11" ht="52" customHeight="1">
      <x:c r="A11" s="26" t="str">
        <x:v>Marketing Services</x:v>
      </x:c>
      <x:c r="B11" s="26" t="str">
        <x:v>auto repair marketing services</x:v>
      </x:c>
      <x:c r="C11" s="26" t="str">
        <x:v>Commercial</x:v>
      </x:c>
      <x:c r="D11" s="26" t="str">
        <x:v>/services</x:v>
      </x:c>
      <x:c r="E11" s="26" t="str">
        <x:v>Optimize existing</x:v>
      </x:c>
      <x:c r="F11" s="30" t="n">
        <x:f>SUMIF('GSC Queries 28d'!$F$6:$F$380,A11,'GSC Queries 28d'!$C$6:$C$380)</x:f>
        <x:v>195</x:v>
      </x:c>
      <x:c r="G11" s="30" t="n">
        <x:f>SUMIF('GSC Queries 28d'!$F$6:$F$380,A11,'GSC Queries 28d'!$B$6:$B$380)</x:f>
        <x:v>0</x:v>
      </x:c>
      <x:c r="H11" s="31" t="n">
        <x:f>IFERROR(SUMIF('GSC Queries 28d'!$F$6:$F$380,A11,'GSC Queries 28d'!$G$6:$G$380)/F11,"")</x:f>
        <x:v>23.82928205128205</x:v>
      </x:c>
      <x:c r="I11" s="32" t="n">
        <x:f>IFERROR(INDEX('SE Keyword Research'!$B$6:$B$349,MATCH(B11,'SE Keyword Research'!$A$6:$A$349,0)),0)</x:f>
        <x:v>0</x:v>
      </x:c>
      <x:c r="J11" s="32" t="str">
        <x:f>IFERROR(INDEX('SE Keyword Research'!$C$6:$C$349,MATCH(B11,'SE Keyword Research'!$A$6:$A$349,0)),50)</x:f>
      </x:c>
      <x:c r="K11" s="32" t="n">
        <x:f>IFERROR(INDEX('SE Rank Tracking'!$B$6:$B$132,MATCH(B11,'SE Rank Tracking'!$A$6:$A$132,0)),101)</x:f>
        <x:v>22</x:v>
      </x:c>
      <x:c r="L11" s="26" t="n">
        <x:v>5</x:v>
      </x:c>
      <x:c r="M11" s="26" t="n">
        <x:v>5</x:v>
      </x:c>
      <x:c r="N11" s="26" t="n">
        <x:v>2</x:v>
      </x:c>
      <x:c r="O11" s="31" t="n">
        <x:f>ROUND(((MIN(F11/'Sources &amp; Assumptions'!$B$15,5)*'Sources &amp; Assumptions'!$B$7)+(MIN(I11/'Sources &amp; Assumptions'!$B$16,5)*'Sources &amp; Assumptions'!$B$8)+((5-MIN(J11/20,5))*'Sources &amp; Assumptions'!$B$9)+(L11*'Sources &amp; Assumptions'!$B$10)+(M11*'Sources &amp; Assumptions'!$B$11))/(N11*'Sources &amp; Assumptions'!$B$12),1)</x:f>
        <x:v>1.8</x:v>
      </x:c>
      <x:c r="P11" s="26" t="str">
        <x:f>IF(O11&gt;=1.75,"Now",IF(O11&gt;=1,"Next",IF(O11&gt;=0.65,"Later","Backlog")))</x:f>
        <x:v>Now</x:v>
      </x:c>
      <x:c r="Q11" s="26" t="str">
        <x:v>Clarify the full-funnel service model and connect every service page back to this hub.</x:v>
      </x:c>
    </x:row>
    <x:row r="12" ht="52" customHeight="1">
      <x:c r="A12" s="26" t="str">
        <x:v>Marketing Ideas</x:v>
      </x:c>
      <x:c r="B12" s="26" t="str">
        <x:v>auto repair marketing ideas</x:v>
      </x:c>
      <x:c r="C12" s="26" t="str">
        <x:v>Informational</x:v>
      </x:c>
      <x:c r="D12" s="26" t="str">
        <x:v>/resources/auto-repair-marketing-ideas</x:v>
      </x:c>
      <x:c r="E12" s="26" t="str">
        <x:v>Create definitive ideas playbook</x:v>
      </x:c>
      <x:c r="F12" s="30" t="n">
        <x:f>SUMIF('GSC Queries 28d'!$F$6:$F$380,A12,'GSC Queries 28d'!$C$6:$C$380)</x:f>
        <x:v>1</x:v>
      </x:c>
      <x:c r="G12" s="30" t="n">
        <x:f>SUMIF('GSC Queries 28d'!$F$6:$F$380,A12,'GSC Queries 28d'!$B$6:$B$380)</x:f>
        <x:v>0</x:v>
      </x:c>
      <x:c r="H12" s="31" t="n">
        <x:f>IFERROR(SUMIF('GSC Queries 28d'!$F$6:$F$380,A12,'GSC Queries 28d'!$G$6:$G$380)/F12,"")</x:f>
        <x:v>66</x:v>
      </x:c>
      <x:c r="I12" s="32" t="n">
        <x:f>IFERROR(INDEX('SE Keyword Research'!$B$6:$B$349,MATCH(B12,'SE Keyword Research'!$A$6:$A$349,0)),0)</x:f>
        <x:v>170</x:v>
      </x:c>
      <x:c r="J12" s="32" t="n">
        <x:f>IFERROR(INDEX('SE Keyword Research'!$C$6:$C$349,MATCH(B12,'SE Keyword Research'!$A$6:$A$349,0)),50)</x:f>
        <x:v>20</x:v>
      </x:c>
      <x:c r="K12" s="32" t="n">
        <x:f>IFERROR(INDEX('SE Rank Tracking'!$B$6:$B$132,MATCH(B12,'SE Rank Tracking'!$A$6:$A$132,0)),101)</x:f>
        <x:v>101</x:v>
      </x:c>
      <x:c r="L12" s="26" t="n">
        <x:v>5</x:v>
      </x:c>
      <x:c r="M12" s="26" t="n">
        <x:v>2</x:v>
      </x:c>
      <x:c r="N12" s="26" t="n">
        <x:v>2</x:v>
      </x:c>
      <x:c r="O12" s="31" t="n">
        <x:f>ROUND(((MIN(F12/'Sources &amp; Assumptions'!$B$15,5)*'Sources &amp; Assumptions'!$B$7)+(MIN(I12/'Sources &amp; Assumptions'!$B$16,5)*'Sources &amp; Assumptions'!$B$8)+((5-MIN(J12/20,5))*'Sources &amp; Assumptions'!$B$9)+(L12*'Sources &amp; Assumptions'!$B$10)+(M12*'Sources &amp; Assumptions'!$B$11))/(N12*'Sources &amp; Assumptions'!$B$12),1)</x:f>
        <x:v>1.2</x:v>
      </x:c>
      <x:c r="P12" s="26" t="str">
        <x:f>IF(O12&gt;=1.75,"Now",IF(O12&gt;=1,"Next",IF(O12&gt;=0.65,"Later","Backlog")))</x:f>
        <x:v>Next</x:v>
      </x:c>
      <x:c r="Q12" s="26" t="str">
        <x:v>Low-difficulty competitor gap with strong adjacent demand; differentiate with owner-ready actions.</x:v>
      </x:c>
    </x:row>
    <x:row r="13" ht="52" customHeight="1">
      <x:c r="A13" s="26" t="str">
        <x:v>Digital Marketing</x:v>
      </x:c>
      <x:c r="B13" s="26" t="str">
        <x:v>digital marketing for auto repair shops</x:v>
      </x:c>
      <x:c r="C13" s="26" t="str">
        <x:v>Commercial</x:v>
      </x:c>
      <x:c r="D13" s="26" t="str">
        <x:v>/services/digital-marketing</x:v>
      </x:c>
      <x:c r="E13" s="26" t="str">
        <x:v>Optimize scope-accurately</x:v>
      </x:c>
      <x:c r="F13" s="30" t="n">
        <x:f>SUMIF('GSC Queries 28d'!$F$6:$F$380,A13,'GSC Queries 28d'!$C$6:$C$380)</x:f>
        <x:v>403</x:v>
      </x:c>
      <x:c r="G13" s="30" t="n">
        <x:f>SUMIF('GSC Queries 28d'!$F$6:$F$380,A13,'GSC Queries 28d'!$B$6:$B$380)</x:f>
        <x:v>0</x:v>
      </x:c>
      <x:c r="H13" s="31" t="n">
        <x:f>IFERROR(SUMIF('GSC Queries 28d'!$F$6:$F$380,A13,'GSC Queries 28d'!$G$6:$G$380)/F13,"")</x:f>
        <x:v>49.28233250620348</x:v>
      </x:c>
      <x:c r="I13" s="32" t="n">
        <x:f>IFERROR(INDEX('SE Keyword Research'!$B$6:$B$349,MATCH(B13,'SE Keyword Research'!$A$6:$A$349,0)),0)</x:f>
        <x:v>90</x:v>
      </x:c>
      <x:c r="J13" s="32" t="n">
        <x:f>IFERROR(INDEX('SE Keyword Research'!$C$6:$C$349,MATCH(B13,'SE Keyword Research'!$A$6:$A$349,0)),50)</x:f>
        <x:v>20</x:v>
      </x:c>
      <x:c r="K13" s="32" t="n">
        <x:f>IFERROR(INDEX('SE Rank Tracking'!$B$6:$B$132,MATCH(B13,'SE Rank Tracking'!$A$6:$A$132,0)),101)</x:f>
        <x:v>50</x:v>
      </x:c>
      <x:c r="L13" s="26" t="n">
        <x:v>4</x:v>
      </x:c>
      <x:c r="M13" s="26" t="n">
        <x:v>4</x:v>
      </x:c>
      <x:c r="N13" s="26" t="n">
        <x:v>2</x:v>
      </x:c>
      <x:c r="O13" s="31" t="n">
        <x:f>ROUND(((MIN(F13/'Sources &amp; Assumptions'!$B$15,5)*'Sources &amp; Assumptions'!$B$7)+(MIN(I13/'Sources &amp; Assumptions'!$B$16,5)*'Sources &amp; Assumptions'!$B$8)+((5-MIN(J13/20,5))*'Sources &amp; Assumptions'!$B$9)+(L13*'Sources &amp; Assumptions'!$B$10)+(M13*'Sources &amp; Assumptions'!$B$11))/(N13*'Sources &amp; Assumptions'!$B$12),1)</x:f>
        <x:v>1.8</x:v>
      </x:c>
      <x:c r="P13" s="26" t="str">
        <x:f>IF(O13&gt;=1.75,"Now",IF(O13&gt;=1,"Next",IF(O13&gt;=0.65,"Later","Backlog")))</x:f>
        <x:v>Now</x:v>
      </x:c>
      <x:c r="Q13" s="26" t="str">
        <x:v>Target reviews, GBP, audits and vendor coordination without claiming standalone SEO/PPC execution.</x:v>
      </x:c>
    </x:row>
    <x:row r="14" ht="52" customHeight="1">
      <x:c r="A14" s="26" t="str">
        <x:v>Marketing Audit</x:v>
      </x:c>
      <x:c r="B14" s="26" t="str">
        <x:v>marketing audit for auto repair shop</x:v>
      </x:c>
      <x:c r="C14" s="26" t="str">
        <x:v>Lead-gen informational</x:v>
      </x:c>
      <x:c r="D14" s="26" t="str">
        <x:v>/resources/auto-repair-marketing-audit-checklist</x:v>
      </x:c>
      <x:c r="E14" s="26" t="str">
        <x:v>Create scorecard/checklist</x:v>
      </x:c>
      <x:c r="F14" s="30" t="n">
        <x:f>SUMIF('GSC Queries 28d'!$F$6:$F$380,A14,'GSC Queries 28d'!$C$6:$C$380)</x:f>
        <x:v>52</x:v>
      </x:c>
      <x:c r="G14" s="30" t="n">
        <x:f>SUMIF('GSC Queries 28d'!$F$6:$F$380,A14,'GSC Queries 28d'!$B$6:$B$380)</x:f>
        <x:v>0</x:v>
      </x:c>
      <x:c r="H14" s="31" t="n">
        <x:f>IFERROR(SUMIF('GSC Queries 28d'!$F$6:$F$380,A14,'GSC Queries 28d'!$G$6:$G$380)/F14,"")</x:f>
        <x:v>30.191153846153842</x:v>
      </x:c>
      <x:c r="I14" s="32" t="n">
        <x:f>IFERROR(INDEX('SE Keyword Research'!$B$6:$B$349,MATCH(B14,'SE Keyword Research'!$A$6:$A$349,0)),0)</x:f>
        <x:v>0</x:v>
      </x:c>
      <x:c r="J14" s="32" t="str">
        <x:f>IFERROR(INDEX('SE Keyword Research'!$C$6:$C$349,MATCH(B14,'SE Keyword Research'!$A$6:$A$349,0)),50)</x:f>
      </x:c>
      <x:c r="K14" s="32" t="n">
        <x:f>IFERROR(INDEX('SE Rank Tracking'!$B$6:$B$132,MATCH(B14,'SE Rank Tracking'!$A$6:$A$132,0)),101)</x:f>
        <x:v>19</x:v>
      </x:c>
      <x:c r="L14" s="26" t="n">
        <x:v>5</x:v>
      </x:c>
      <x:c r="M14" s="26" t="n">
        <x:v>2</x:v>
      </x:c>
      <x:c r="N14" s="26" t="n">
        <x:v>2</x:v>
      </x:c>
      <x:c r="O14" s="31" t="n">
        <x:f>ROUND(((MIN(F14/'Sources &amp; Assumptions'!$B$15,5)*'Sources &amp; Assumptions'!$B$7)+(MIN(I14/'Sources &amp; Assumptions'!$B$16,5)*'Sources &amp; Assumptions'!$B$8)+((5-MIN(J14/20,5))*'Sources &amp; Assumptions'!$B$9)+(L14*'Sources &amp; Assumptions'!$B$10)+(M14*'Sources &amp; Assumptions'!$B$11))/(N14*'Sources &amp; Assumptions'!$B$12),1)</x:f>
        <x:v>1.3</x:v>
      </x:c>
      <x:c r="P14" s="26" t="str">
        <x:f>IF(O14&gt;=1.75,"Now",IF(O14&gt;=1,"Next",IF(O14&gt;=0.65,"Later","Backlog")))</x:f>
        <x:v>Next</x:v>
      </x:c>
      <x:c r="Q14" s="26" t="str">
        <x:v>High-fit lead magnet that can earn links and feed the consultation CTA.</x:v>
      </x:c>
    </x:row>
    <x:row r="15" ht="52" customHeight="1">
      <x:c r="A15" s="26" t="str">
        <x:v>Social Media</x:v>
      </x:c>
      <x:c r="B15" s="26" t="str">
        <x:v>social media for auto repair shops</x:v>
      </x:c>
      <x:c r="C15" s="26" t="str">
        <x:v>Commercial informational</x:v>
      </x:c>
      <x:c r="D15" s="26" t="str">
        <x:v>/services/social-media-marketing</x:v>
      </x:c>
      <x:c r="E15" s="26" t="str">
        <x:v>Optimize existing + examples</x:v>
      </x:c>
      <x:c r="F15" s="30" t="n">
        <x:f>SUMIF('GSC Queries 28d'!$F$6:$F$380,A15,'GSC Queries 28d'!$C$6:$C$380)</x:f>
        <x:v>241</x:v>
      </x:c>
      <x:c r="G15" s="30" t="n">
        <x:f>SUMIF('GSC Queries 28d'!$F$6:$F$380,A15,'GSC Queries 28d'!$B$6:$B$380)</x:f>
        <x:v>0</x:v>
      </x:c>
      <x:c r="H15" s="31" t="n">
        <x:f>IFERROR(SUMIF('GSC Queries 28d'!$F$6:$F$380,A15,'GSC Queries 28d'!$G$6:$G$380)/F15,"")</x:f>
        <x:v>41.91601659751037</x:v>
      </x:c>
      <x:c r="I15" s="32" t="n">
        <x:f>IFERROR(INDEX('SE Keyword Research'!$B$6:$B$349,MATCH(B15,'SE Keyword Research'!$A$6:$A$349,0)),0)</x:f>
        <x:v>20</x:v>
      </x:c>
      <x:c r="J15" s="32" t="str">
        <x:f>IFERROR(INDEX('SE Keyword Research'!$C$6:$C$349,MATCH(B15,'SE Keyword Research'!$A$6:$A$349,0)),50)</x:f>
      </x:c>
      <x:c r="K15" s="32" t="n">
        <x:f>IFERROR(INDEX('SE Rank Tracking'!$B$6:$B$132,MATCH(B15,'SE Rank Tracking'!$A$6:$A$132,0)),101)</x:f>
        <x:v>41</x:v>
      </x:c>
      <x:c r="L15" s="26" t="n">
        <x:v>4</x:v>
      </x:c>
      <x:c r="M15" s="26" t="n">
        <x:v>3</x:v>
      </x:c>
      <x:c r="N15" s="26" t="n">
        <x:v>3</x:v>
      </x:c>
      <x:c r="O15" s="31" t="n">
        <x:f>ROUND(((MIN(F15/'Sources &amp; Assumptions'!$B$15,5)*'Sources &amp; Assumptions'!$B$7)+(MIN(I15/'Sources &amp; Assumptions'!$B$16,5)*'Sources &amp; Assumptions'!$B$8)+((5-MIN(J15/20,5))*'Sources &amp; Assumptions'!$B$9)+(L15*'Sources &amp; Assumptions'!$B$10)+(M15*'Sources &amp; Assumptions'!$B$11))/(N15*'Sources &amp; Assumptions'!$B$12),1)</x:f>
        <x:v>1.2</x:v>
      </x:c>
      <x:c r="P15" s="26" t="str">
        <x:f>IF(O15&gt;=1.75,"Now",IF(O15&gt;=1,"Next",IF(O15&gt;=0.65,"Later","Backlog")))</x:f>
        <x:v>Next</x:v>
      </x:c>
      <x:c r="Q15" s="26" t="str">
        <x:v>Add platform examples, cadence, proof and internal links from relevant resources.</x:v>
      </x:c>
    </x:row>
    <x:row r="16" ht="52" customHeight="1">
      <x:c r="A16" s="26" t="str">
        <x:v>Retention / Email</x:v>
      </x:c>
      <x:c r="B16" s="26" t="str">
        <x:v>auto repair customer retention</x:v>
      </x:c>
      <x:c r="C16" s="26" t="str">
        <x:v>Commercial informational</x:v>
      </x:c>
      <x:c r="D16" s="26" t="str">
        <x:v>/services/retention-marketing</x:v>
      </x:c>
      <x:c r="E16" s="26" t="str">
        <x:v>Optimize existing + retention guide</x:v>
      </x:c>
      <x:c r="F16" s="30" t="n">
        <x:f>SUMIF('GSC Queries 28d'!$F$6:$F$380,A16,'GSC Queries 28d'!$C$6:$C$380)</x:f>
        <x:v>53</x:v>
      </x:c>
      <x:c r="G16" s="30" t="n">
        <x:f>SUMIF('GSC Queries 28d'!$F$6:$F$380,A16,'GSC Queries 28d'!$B$6:$B$380)</x:f>
        <x:v>0</x:v>
      </x:c>
      <x:c r="H16" s="31" t="n">
        <x:f>IFERROR(SUMIF('GSC Queries 28d'!$F$6:$F$380,A16,'GSC Queries 28d'!$G$6:$G$380)/F16,"")</x:f>
        <x:v>79.37641509433962</x:v>
      </x:c>
      <x:c r="I16" s="32" t="n">
        <x:f>IFERROR(INDEX('SE Keyword Research'!$B$6:$B$349,MATCH(B16,'SE Keyword Research'!$A$6:$A$349,0)),0)</x:f>
        <x:v>0</x:v>
      </x:c>
      <x:c r="J16" s="32" t="n">
        <x:f>IFERROR(INDEX('SE Keyword Research'!$C$6:$C$349,MATCH(B16,'SE Keyword Research'!$A$6:$A$349,0)),50)</x:f>
        <x:v>50</x:v>
      </x:c>
      <x:c r="K16" s="32" t="n">
        <x:f>IFERROR(INDEX('SE Rank Tracking'!$B$6:$B$132,MATCH(B16,'SE Rank Tracking'!$A$6:$A$132,0)),101)</x:f>
        <x:v>101</x:v>
      </x:c>
      <x:c r="L16" s="26" t="n">
        <x:v>5</x:v>
      </x:c>
      <x:c r="M16" s="26" t="n">
        <x:v>4</x:v>
      </x:c>
      <x:c r="N16" s="26" t="n">
        <x:v>2</x:v>
      </x:c>
      <x:c r="O16" s="31" t="n">
        <x:f>ROUND(((MIN(F16/'Sources &amp; Assumptions'!$B$15,5)*'Sources &amp; Assumptions'!$B$7)+(MIN(I16/'Sources &amp; Assumptions'!$B$16,5)*'Sources &amp; Assumptions'!$B$8)+((5-MIN(J16/20,5))*'Sources &amp; Assumptions'!$B$9)+(L16*'Sources &amp; Assumptions'!$B$10)+(M16*'Sources &amp; Assumptions'!$B$11))/(N16*'Sources &amp; Assumptions'!$B$12),1)</x:f>
        <x:v>1.2</x:v>
      </x:c>
      <x:c r="P16" s="26" t="str">
        <x:f>IF(O16&gt;=1.75,"Now",IF(O16&gt;=1,"Next",IF(O16&gt;=0.65,"Later","Backlog")))</x:f>
        <x:v>Next</x:v>
      </x:c>
      <x:c r="Q16" s="26" t="str">
        <x:v>Retention is central to Turnkey's offer and less crowded than acquisition-only topics.</x:v>
      </x:c>
    </x:row>
    <x:row r="17" ht="52" customHeight="1">
      <x:c r="A17" s="26" t="str">
        <x:v>Lead Generation / Growth</x:v>
      </x:c>
      <x:c r="B17" s="26" t="str">
        <x:v>auto repair lead generation</x:v>
      </x:c>
      <x:c r="C17" s="26" t="str">
        <x:v>Commercial informational</x:v>
      </x:c>
      <x:c r="D17" s="26" t="str">
        <x:v>/resources/increase-auto-repair-car-count</x:v>
      </x:c>
      <x:c r="E17" s="26" t="str">
        <x:v>Create growth guide</x:v>
      </x:c>
      <x:c r="F17" s="30" t="n">
        <x:f>SUMIF('GSC Queries 28d'!$F$6:$F$380,A17,'GSC Queries 28d'!$C$6:$C$380)</x:f>
        <x:v>58</x:v>
      </x:c>
      <x:c r="G17" s="30" t="n">
        <x:f>SUMIF('GSC Queries 28d'!$F$6:$F$380,A17,'GSC Queries 28d'!$B$6:$B$380)</x:f>
        <x:v>0</x:v>
      </x:c>
      <x:c r="H17" s="31" t="n">
        <x:f>IFERROR(SUMIF('GSC Queries 28d'!$F$6:$F$380,A17,'GSC Queries 28d'!$G$6:$G$380)/F17,"")</x:f>
        <x:v>70.46551724137932</x:v>
      </x:c>
      <x:c r="I17" s="32" t="n">
        <x:f>IFERROR(INDEX('SE Keyword Research'!$B$6:$B$349,MATCH(B17,'SE Keyword Research'!$A$6:$A$349,0)),0)</x:f>
        <x:v>50</x:v>
      </x:c>
      <x:c r="J17" s="32" t="n">
        <x:f>IFERROR(INDEX('SE Keyword Research'!$C$6:$C$349,MATCH(B17,'SE Keyword Research'!$A$6:$A$349,0)),50)</x:f>
        <x:v>13</x:v>
      </x:c>
      <x:c r="K17" s="32" t="n">
        <x:f>IFERROR(INDEX('SE Rank Tracking'!$B$6:$B$132,MATCH(B17,'SE Rank Tracking'!$A$6:$A$132,0)),101)</x:f>
        <x:v>101</x:v>
      </x:c>
      <x:c r="L17" s="26" t="n">
        <x:v>4</x:v>
      </x:c>
      <x:c r="M17" s="26" t="n">
        <x:v>2</x:v>
      </x:c>
      <x:c r="N17" s="26" t="n">
        <x:v>4</x:v>
      </x:c>
      <x:c r="O17" s="31" t="n">
        <x:f>ROUND(((MIN(F17/'Sources &amp; Assumptions'!$B$15,5)*'Sources &amp; Assumptions'!$B$7)+(MIN(I17/'Sources &amp; Assumptions'!$B$16,5)*'Sources &amp; Assumptions'!$B$8)+((5-MIN(J17/20,5))*'Sources &amp; Assumptions'!$B$9)+(L17*'Sources &amp; Assumptions'!$B$10)+(M17*'Sources &amp; Assumptions'!$B$11))/(N17*'Sources &amp; Assumptions'!$B$12),1)</x:f>
        <x:v>0.6</x:v>
      </x:c>
      <x:c r="P17" s="26" t="str">
        <x:f>IF(O17&gt;=1.75,"Now",IF(O17&gt;=1,"Next",IF(O17&gt;=0.65,"Later","Backlog")))</x:f>
        <x:v>Backlog</x:v>
      </x:c>
      <x:c r="Q17" s="26" t="str">
        <x:v>Build an outcome-focused guide while keeping claims measurable and evidence-backed.</x:v>
      </x:c>
    </x:row>
    <x:row r="18" ht="52" customHeight="1">
      <x:c r="A18" s="26" t="str">
        <x:v>Core Marketing</x:v>
      </x:c>
      <x:c r="B18" s="26" t="str">
        <x:v>auto repair marketing</x:v>
      </x:c>
      <x:c r="C18" s="26" t="str">
        <x:v>Commercial</x:v>
      </x:c>
      <x:c r="D18" s="26" t="str">
        <x:v>/</x:v>
      </x:c>
      <x:c r="E18" s="26" t="str">
        <x:v>Consolidate homepage target</x:v>
      </x:c>
      <x:c r="F18" s="30" t="n">
        <x:f>SUMIF('GSC Queries 28d'!$F$6:$F$380,A18,'GSC Queries 28d'!$C$6:$C$380)</x:f>
        <x:v>760</x:v>
      </x:c>
      <x:c r="G18" s="30" t="n">
        <x:f>SUMIF('GSC Queries 28d'!$F$6:$F$380,A18,'GSC Queries 28d'!$B$6:$B$380)</x:f>
        <x:v>0</x:v>
      </x:c>
      <x:c r="H18" s="31" t="n">
        <x:f>IFERROR(SUMIF('GSC Queries 28d'!$F$6:$F$380,A18,'GSC Queries 28d'!$G$6:$G$380)/F18,"")</x:f>
        <x:v>36.31834210526316</x:v>
      </x:c>
      <x:c r="I18" s="32" t="n">
        <x:f>IFERROR(INDEX('SE Keyword Research'!$B$6:$B$349,MATCH(B18,'SE Keyword Research'!$A$6:$A$349,0)),0)</x:f>
        <x:v>260</x:v>
      </x:c>
      <x:c r="J18" s="32" t="n">
        <x:f>IFERROR(INDEX('SE Keyword Research'!$C$6:$C$349,MATCH(B18,'SE Keyword Research'!$A$6:$A$349,0)),50)</x:f>
        <x:v>35</x:v>
      </x:c>
      <x:c r="K18" s="32" t="n">
        <x:f>IFERROR(INDEX('SE Rank Tracking'!$B$6:$B$132,MATCH(B18,'SE Rank Tracking'!$A$6:$A$132,0)),101)</x:f>
        <x:v>101</x:v>
      </x:c>
      <x:c r="L18" s="26" t="n">
        <x:v>5</x:v>
      </x:c>
      <x:c r="M18" s="26" t="n">
        <x:v>5</x:v>
      </x:c>
      <x:c r="N18" s="26" t="n">
        <x:v>3</x:v>
      </x:c>
      <x:c r="O18" s="31" t="n">
        <x:f>ROUND(((MIN(F18/'Sources &amp; Assumptions'!$B$15,5)*'Sources &amp; Assumptions'!$B$7)+(MIN(I18/'Sources &amp; Assumptions'!$B$16,5)*'Sources &amp; Assumptions'!$B$8)+((5-MIN(J18/20,5))*'Sources &amp; Assumptions'!$B$9)+(L18*'Sources &amp; Assumptions'!$B$10)+(M18*'Sources &amp; Assumptions'!$B$11))/(N18*'Sources &amp; Assumptions'!$B$12),1)</x:f>
        <x:v>1.4</x:v>
      </x:c>
      <x:c r="P18" s="26" t="str">
        <x:f>IF(O18&gt;=1.75,"Now",IF(O18&gt;=1,"Next",IF(O18&gt;=0.65,"Later","Backlog")))</x:f>
        <x:v>Next</x:v>
      </x:c>
      <x:c r="Q18" s="26" t="str">
        <x:v>The broad head term should reinforce the homepage, not the resource hub.</x:v>
      </x:c>
    </x:row>
    <x:row r="19" ht="52" customHeight="1">
      <x:c r="A19" s="26" t="str">
        <x:v>Customer Avatar</x:v>
      </x:c>
      <x:c r="B19" s="26" t="str">
        <x:v>customer avatar auto repair</x:v>
      </x:c>
      <x:c r="C19" s="26" t="str">
        <x:v>Informational</x:v>
      </x:c>
      <x:c r="D19" s="26" t="str">
        <x:v>/resources/ideal-customer-profile-auto-repair-shop</x:v>
      </x:c>
      <x:c r="E19" s="26" t="str">
        <x:v>Expand existing</x:v>
      </x:c>
      <x:c r="F19" s="30" t="n">
        <x:f>SUMIF('GSC Queries 28d'!$F$6:$F$380,A19,'GSC Queries 28d'!$C$6:$C$380)</x:f>
        <x:v>69</x:v>
      </x:c>
      <x:c r="G19" s="30" t="n">
        <x:f>SUMIF('GSC Queries 28d'!$F$6:$F$380,A19,'GSC Queries 28d'!$B$6:$B$380)</x:f>
        <x:v>0</x:v>
      </x:c>
      <x:c r="H19" s="31" t="n">
        <x:f>IFERROR(SUMIF('GSC Queries 28d'!$F$6:$F$380,A19,'GSC Queries 28d'!$G$6:$G$380)/F19,"")</x:f>
        <x:v>5.8426086956521734</x:v>
      </x:c>
      <x:c r="I19" s="32" t="n">
        <x:f>IFERROR(INDEX('SE Keyword Research'!$B$6:$B$349,MATCH(B19,'SE Keyword Research'!$A$6:$A$349,0)),0)</x:f>
        <x:v>0</x:v>
      </x:c>
      <x:c r="J19" s="32" t="n">
        <x:f>IFERROR(INDEX('SE Keyword Research'!$C$6:$C$349,MATCH(B19,'SE Keyword Research'!$A$6:$A$349,0)),50)</x:f>
        <x:v>50</x:v>
      </x:c>
      <x:c r="K19" s="32" t="n">
        <x:f>IFERROR(INDEX('SE Rank Tracking'!$B$6:$B$132,MATCH(B19,'SE Rank Tracking'!$A$6:$A$132,0)),101)</x:f>
        <x:v>101</x:v>
      </x:c>
      <x:c r="L19" s="26" t="n">
        <x:v>4</x:v>
      </x:c>
      <x:c r="M19" s="26" t="n">
        <x:v>4</x:v>
      </x:c>
      <x:c r="N19" s="26" t="n">
        <x:v>2</x:v>
      </x:c>
      <x:c r="O19" s="31" t="n">
        <x:f>ROUND(((MIN(F19/'Sources &amp; Assumptions'!$B$15,5)*'Sources &amp; Assumptions'!$B$7)+(MIN(I19/'Sources &amp; Assumptions'!$B$16,5)*'Sources &amp; Assumptions'!$B$8)+((5-MIN(J19/20,5))*'Sources &amp; Assumptions'!$B$9)+(L19*'Sources &amp; Assumptions'!$B$10)+(M19*'Sources &amp; Assumptions'!$B$11))/(N19*'Sources &amp; Assumptions'!$B$12),1)</x:f>
        <x:v>1.1</x:v>
      </x:c>
      <x:c r="P19" s="26" t="str">
        <x:f>IF(O19&gt;=1.75,"Now",IF(O19&gt;=1,"Next",IF(O19&gt;=0.65,"Later","Backlog")))</x:f>
        <x:v>Next</x:v>
      </x:c>
      <x:c r="Q19" s="26" t="str">
        <x:v>Existing visibility is strong; add template, examples and links into plan/audit pages.</x:v>
      </x:c>
    </x:row>
    <x:row r="20" ht="52" customHeight="1">
      <x:c r="A20" s="26" t="str">
        <x:v>Multi-Location Marketing</x:v>
      </x:c>
      <x:c r="B20" s="26" t="str">
        <x:v>multi location auto repair marketing</x:v>
      </x:c>
      <x:c r="C20" s="26" t="str">
        <x:v>Commercial informational</x:v>
      </x:c>
      <x:c r="D20" s="26" t="str">
        <x:v>/resources/multi-location-auto-repair-marketing</x:v>
      </x:c>
      <x:c r="E20" s="26" t="str">
        <x:v>Create specialized guide</x:v>
      </x:c>
      <x:c r="F20" s="30" t="n">
        <x:f>SUMIF('GSC Queries 28d'!$F$6:$F$380,A20,'GSC Queries 28d'!$C$6:$C$380)</x:f>
        <x:v>10</x:v>
      </x:c>
      <x:c r="G20" s="30" t="n">
        <x:f>SUMIF('GSC Queries 28d'!$F$6:$F$380,A20,'GSC Queries 28d'!$B$6:$B$380)</x:f>
        <x:v>0</x:v>
      </x:c>
      <x:c r="H20" s="31" t="n">
        <x:f>IFERROR(SUMIF('GSC Queries 28d'!$F$6:$F$380,A20,'GSC Queries 28d'!$G$6:$G$380)/F20,"")</x:f>
        <x:v>34.1</x:v>
      </x:c>
      <x:c r="I20" s="32" t="n">
        <x:f>IFERROR(INDEX('SE Keyword Research'!$B$6:$B$349,MATCH(B20,'SE Keyword Research'!$A$6:$A$349,0)),0)</x:f>
        <x:v>0</x:v>
      </x:c>
      <x:c r="J20" s="32" t="n">
        <x:f>IFERROR(INDEX('SE Keyword Research'!$C$6:$C$349,MATCH(B20,'SE Keyword Research'!$A$6:$A$349,0)),50)</x:f>
        <x:v>50</x:v>
      </x:c>
      <x:c r="K20" s="32" t="n">
        <x:f>IFERROR(INDEX('SE Rank Tracking'!$B$6:$B$132,MATCH(B20,'SE Rank Tracking'!$A$6:$A$132,0)),101)</x:f>
        <x:v>101</x:v>
      </x:c>
      <x:c r="L20" s="26" t="n">
        <x:v>4</x:v>
      </x:c>
      <x:c r="M20" s="26" t="n">
        <x:v>2</x:v>
      </x:c>
      <x:c r="N20" s="26" t="n">
        <x:v>4</x:v>
      </x:c>
      <x:c r="O20" s="31" t="n">
        <x:f>ROUND(((MIN(F20/'Sources &amp; Assumptions'!$B$15,5)*'Sources &amp; Assumptions'!$B$7)+(MIN(I20/'Sources &amp; Assumptions'!$B$16,5)*'Sources &amp; Assumptions'!$B$8)+((5-MIN(J20/20,5))*'Sources &amp; Assumptions'!$B$9)+(L20*'Sources &amp; Assumptions'!$B$10)+(M20*'Sources &amp; Assumptions'!$B$11))/(N20*'Sources &amp; Assumptions'!$B$12),1)</x:f>
        <x:v>0.4</x:v>
      </x:c>
      <x:c r="P20" s="26" t="str">
        <x:f>IF(O20&gt;=1.75,"Now",IF(O20&gt;=1,"Next",IF(O20&gt;=0.65,"Later","Backlog")))</x:f>
        <x:v>Backlog</x:v>
      </x:c>
      <x:c r="Q20" s="26" t="str">
        <x:v>A narrower authority play for higher-value operators; validate demand after core wins ship.</x:v>
      </x:c>
    </x:row>
  </x:sheetData>
  <x:mergeCells>
    <x:mergeCell ref="A1:Q2"/>
    <x:mergeCell ref="A3:Q3"/>
  </x:mergeCells>
  <x:conditionalFormatting sqref="O6:O20">
    <x:cfRule type="colorScale" priority="1">
      <x:colorScale>
        <x:cfvo type="min"/>
        <x:cfvo type="percentile" val="50"/>
        <x:cfvo type="max"/>
        <x:color rgb="FFFCE8E6"/>
        <x:color rgb="FFFFF4D6"/>
        <x:color rgb="FFEDF6D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c094a6a3fa94c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42" hidden="0" customWidth="1"/>
    <x:col min="3" max="3" width="24" hidden="0" customWidth="1"/>
    <x:col min="4" max="4" width="14" hidden="0" customWidth="1"/>
    <x:col min="5" max="5" width="14" hidden="0" customWidth="1"/>
    <x:col min="6" max="6" width="78" hidden="0" customWidth="1"/>
  </x:cols>
  <x:sheetData>
    <x:row r="1" ht="28" customHeight="1">
      <x:c r="A1" s="3" t="str">
        <x:v>SEO Page Map</x:v>
      </x:c>
      <x:c r="B1" s="3" t="str">
        <x:v>SEO Page Map</x:v>
      </x:c>
      <x:c r="C1" s="3" t="str">
        <x:v>SEO Page Map</x:v>
      </x:c>
      <x:c r="D1" s="3" t="str">
        <x:v>SEO Page Map</x:v>
      </x:c>
      <x:c r="E1" s="3" t="str">
        <x:v>SEO Page Map</x:v>
      </x:c>
      <x:c r="F1" s="3" t="str">
        <x:v>SEO Page Map</x:v>
      </x:c>
    </x:row>
    <x:row r="2" ht="28" customHeight="1">
      <x:c r="A2" s="3" t="str">
        <x:v>SEO Page Map</x:v>
      </x:c>
      <x:c r="B2" s="3" t="str">
        <x:v>SEO Page Map</x:v>
      </x:c>
      <x:c r="C2" s="3" t="str">
        <x:v>SEO Page Map</x:v>
      </x:c>
      <x:c r="D2" s="3" t="str">
        <x:v>SEO Page Map</x:v>
      </x:c>
      <x:c r="E2" s="3" t="str">
        <x:v>SEO Page Map</x:v>
      </x:c>
      <x:c r="F2" s="3" t="str">
        <x:v>SEO Page Map</x:v>
      </x:c>
    </x:row>
    <x:row r="3" ht="28" customHeight="1">
      <x:c r="A3" s="7" t="str">
        <x:v>One primary intent per URL. This is the guardrail against keyword cannibalization and scope creep.</x:v>
      </x:c>
      <x:c r="B3" s="7" t="str">
        <x:v>One primary intent per URL. This is the guardrail against keyword cannibalization and scope creep.</x:v>
      </x:c>
      <x:c r="C3" s="7" t="str">
        <x:v>One primary intent per URL. This is the guardrail against keyword cannibalization and scope creep.</x:v>
      </x:c>
      <x:c r="D3" s="7" t="str">
        <x:v>One primary intent per URL. This is the guardrail against keyword cannibalization and scope creep.</x:v>
      </x:c>
      <x:c r="E3" s="7" t="str">
        <x:v>One primary intent per URL. This is the guardrail against keyword cannibalization and scope creep.</x:v>
      </x:c>
      <x:c r="F3" s="7" t="str">
        <x:v>One primary intent per URL. This is the guardrail against keyword cannibalization and scope creep.</x:v>
      </x:c>
    </x:row>
    <x:row r="5">
      <x:c r="A5" t="str">
        <x:v>URL</x:v>
      </x:c>
      <x:c r="B5" t="str">
        <x:v>Primary keyword cluster</x:v>
      </x:c>
      <x:c r="C5" t="str">
        <x:v>Intent</x:v>
      </x:c>
      <x:c r="D5" t="str">
        <x:v>Action</x:v>
      </x:c>
      <x:c r="E5" t="str">
        <x:v>Sequence</x:v>
      </x:c>
      <x:c r="F5" t="str">
        <x:v>Implementation notes</x:v>
      </x:c>
    </x:row>
    <x:row r="6" ht="58" customHeight="1">
      <x:c r="A6" s="33" t="str">
        <x:v>/</x:v>
      </x:c>
      <x:c r="B6" s="33" t="str">
        <x:v>Auto repair marketing agency; auto repair marketing; company/consultant variants</x:v>
      </x:c>
      <x:c r="C6" s="33" t="str">
        <x:v>Commercial</x:v>
      </x:c>
      <x:c r="D6" s="33" t="str">
        <x:v>Optimize</x:v>
      </x:c>
      <x:c r="E6" s="33" t="str">
        <x:v>Now</x:v>
      </x:c>
      <x:c r="F6" s="33" t="str">
        <x:v>Rewrite title/H1/intro around automotive-only agency value; add proof, service-path links and a clear consultation CTA. Do not let /resources compete for the head term.</x:v>
      </x:c>
    </x:row>
    <x:row r="7" ht="58" customHeight="1">
      <x:c r="A7" s="33" t="str">
        <x:v>/services</x:v>
      </x:c>
      <x:c r="B7" s="33" t="str">
        <x:v>Auto repair marketing services</x:v>
      </x:c>
      <x:c r="C7" s="33" t="str">
        <x:v>Commercial</x:v>
      </x:c>
      <x:c r="D7" s="33" t="str">
        <x:v>Optimize</x:v>
      </x:c>
      <x:c r="E7" s="33" t="str">
        <x:v>Now</x:v>
      </x:c>
      <x:c r="F7" s="33" t="str">
        <x:v>Turn into the service hub: who it is for, outcomes, service cards, proof, FAQs and links to every detailed service.</x:v>
      </x:c>
    </x:row>
    <x:row r="8" ht="58" customHeight="1">
      <x:c r="A8" s="33" t="str">
        <x:v>/services/vip-marketing-manager</x:v>
      </x:c>
      <x:c r="B8" s="33" t="str">
        <x:v>Outsourced marketing director; auto repair marketing director</x:v>
      </x:c>
      <x:c r="C8" s="33" t="str">
        <x:v>Commercial</x:v>
      </x:c>
      <x:c r="D8" s="33" t="str">
        <x:v>Optimize</x:v>
      </x:c>
      <x:c r="E8" s="33" t="str">
        <x:v>Now</x:v>
      </x:c>
      <x:c r="F8" s="33" t="str">
        <x:v>Align title/H1, explain fractional leadership vs vendor execution, add deliverables/timeline/proof and link from homepage/about/services.</x:v>
      </x:c>
    </x:row>
    <x:row r="9" ht="58" customHeight="1">
      <x:c r="A9" s="33" t="str">
        <x:v>/resources/auto-repair-marketing-plan</x:v>
      </x:c>
      <x:c r="B9" s="33" t="str">
        <x:v>Marketing plan; strategy; shop marketing plan</x:v>
      </x:c>
      <x:c r="C9" s="33" t="str">
        <x:v>Informational</x:v>
      </x:c>
      <x:c r="D9" s="33" t="str">
        <x:v>Expand</x:v>
      </x:c>
      <x:c r="E9" s="33" t="str">
        <x:v>Now</x:v>
      </x:c>
      <x:c r="F9" s="33" t="str">
        <x:v>Add one-page template, budget/KPI table, quarterly cadence, worked example, downloadable PDF and strong contextual links to services.</x:v>
      </x:c>
    </x:row>
    <x:row r="10" ht="58" customHeight="1">
      <x:c r="A10" s="33" t="str">
        <x:v>/services/direct-mail</x:v>
      </x:c>
      <x:c r="B10" s="33" t="str">
        <x:v>Auto repair direct mail service</x:v>
      </x:c>
      <x:c r="C10" s="33" t="str">
        <x:v>Commercial</x:v>
      </x:c>
      <x:c r="D10" s="33" t="str">
        <x:v>Optimize</x:v>
      </x:c>
      <x:c r="E10" s="33" t="str">
        <x:v>Next</x:v>
      </x:c>
      <x:c r="F10" s="33" t="str">
        <x:v>Own transactional intent with formats, targeting, workflow, proof, FAQs and a link to the examples/cost guide.</x:v>
      </x:c>
    </x:row>
    <x:row r="11" ht="58" customHeight="1">
      <x:c r="A11" s="33" t="str">
        <x:v>/resources/direct-mail-for-repair-shops</x:v>
      </x:c>
      <x:c r="B11" s="33" t="str">
        <x:v>Direct mail examples; cost; ROI; postcards</x:v>
      </x:c>
      <x:c r="C11" s="33" t="str">
        <x:v>Informational</x:v>
      </x:c>
      <x:c r="D11" s="33" t="str">
        <x:v>Expand</x:v>
      </x:c>
      <x:c r="E11" s="33" t="str">
        <x:v>Next</x:v>
      </x:c>
      <x:c r="F11" s="33" t="str">
        <x:v>Own informational intent; add examples, cost model, tracking method, cadence and decision checklist.</x:v>
      </x:c>
    </x:row>
    <x:row r="12" ht="58" customHeight="1">
      <x:c r="A12" s="33" t="str">
        <x:v>/resources/best-auto-repair-marketing-companies</x:v>
      </x:c>
      <x:c r="B12" s="33" t="str">
        <x:v>Auto repair marketing companies; best agency</x:v>
      </x:c>
      <x:c r="C12" s="33" t="str">
        <x:v>Commercial research</x:v>
      </x:c>
      <x:c r="D12" s="33" t="str">
        <x:v>Create</x:v>
      </x:c>
      <x:c r="E12" s="33" t="str">
        <x:v>Next</x:v>
      </x:c>
      <x:c r="F12" s="33" t="str">
        <x:v>Publish a transparent buyer's guide with evaluation criteria, neutral competitor summaries, best-fit use cases and disclosed methodology.</x:v>
      </x:c>
    </x:row>
    <x:row r="13" ht="58" customHeight="1">
      <x:c r="A13" s="33" t="str">
        <x:v>/resources/auto-repair-marketing-ideas</x:v>
      </x:c>
      <x:c r="B13" s="33" t="str">
        <x:v>Marketing ideas; advertising ideas; strategies</x:v>
      </x:c>
      <x:c r="C13" s="33" t="str">
        <x:v>Informational</x:v>
      </x:c>
      <x:c r="D13" s="33" t="str">
        <x:v>Create</x:v>
      </x:c>
      <x:c r="E13" s="33" t="str">
        <x:v>Next</x:v>
      </x:c>
      <x:c r="F13" s="33" t="str">
        <x:v>Publish 21 prioritized ideas grouped by retention, referrals, digital, direct mail and community; include effort/cost/timeline.</x:v>
      </x:c>
    </x:row>
    <x:row r="14" ht="58" customHeight="1">
      <x:c r="A14" s="33" t="str">
        <x:v>/services/digital-marketing</x:v>
      </x:c>
      <x:c r="B14" s="33" t="str">
        <x:v>Digital marketing for auto repair shops</x:v>
      </x:c>
      <x:c r="C14" s="33" t="str">
        <x:v>Commercial</x:v>
      </x:c>
      <x:c r="D14" s="33" t="str">
        <x:v>Optimize</x:v>
      </x:c>
      <x:c r="E14" s="33" t="str">
        <x:v>Next</x:v>
      </x:c>
      <x:c r="F14" s="33" t="str">
        <x:v>Stay scope-accurate: reviews, GBP optimization, website audits and vendor coordination; avoid unsupported standalone SEO/PPC claims.</x:v>
      </x:c>
    </x:row>
    <x:row r="15" ht="58" customHeight="1">
      <x:c r="A15" s="33" t="str">
        <x:v>/resources/auto-repair-marketing-audit-checklist</x:v>
      </x:c>
      <x:c r="B15" s="33" t="str">
        <x:v>Marketing audit; marketing checklist</x:v>
      </x:c>
      <x:c r="C15" s="33" t="str">
        <x:v>Lead generation</x:v>
      </x:c>
      <x:c r="D15" s="33" t="str">
        <x:v>Create</x:v>
      </x:c>
      <x:c r="E15" s="33" t="str">
        <x:v>Next</x:v>
      </x:c>
      <x:c r="F15" s="33" t="str">
        <x:v>Create a self-scorecard with weighted sections, downloadable checklist and consultation CTA; designed to attract links.</x:v>
      </x:c>
    </x:row>
    <x:row r="16" ht="58" customHeight="1">
      <x:c r="A16" s="33" t="str">
        <x:v>/services/social-media-marketing</x:v>
      </x:c>
      <x:c r="B16" s="33" t="str">
        <x:v>Social media for auto repair shops</x:v>
      </x:c>
      <x:c r="C16" s="33" t="str">
        <x:v>Commercial</x:v>
      </x:c>
      <x:c r="D16" s="33" t="str">
        <x:v>Optimize</x:v>
      </x:c>
      <x:c r="E16" s="33" t="str">
        <x:v>Later</x:v>
      </x:c>
      <x:c r="F16" s="33" t="str">
        <x:v>Add sample month, platform roles, creative examples, reporting approach, proof and FAQ schema.</x:v>
      </x:c>
    </x:row>
    <x:row r="17" ht="58" customHeight="1">
      <x:c r="A17" s="33" t="str">
        <x:v>/services/retention-marketing</x:v>
      </x:c>
      <x:c r="B17" s="33" t="str">
        <x:v>Customer retention; email marketing; reactivation</x:v>
      </x:c>
      <x:c r="C17" s="33" t="str">
        <x:v>Commercial</x:v>
      </x:c>
      <x:c r="D17" s="33" t="str">
        <x:v>Optimize</x:v>
      </x:c>
      <x:c r="E17" s="33" t="str">
        <x:v>Later</x:v>
      </x:c>
      <x:c r="F17" s="33" t="str">
        <x:v>Clarify retention channels, segments, cadence, metrics, example campaigns and how Turnkey coordinates execution.</x:v>
      </x:c>
    </x:row>
    <x:row r="18" ht="58" customHeight="1">
      <x:c r="A18" s="33" t="str">
        <x:v>/resources/increase-auto-repair-car-count</x:v>
      </x:c>
      <x:c r="B18" s="33" t="str">
        <x:v>Lead generation; increase car count; get more customers</x:v>
      </x:c>
      <x:c r="C18" s="33" t="str">
        <x:v>Informational</x:v>
      </x:c>
      <x:c r="D18" s="33" t="str">
        <x:v>Create</x:v>
      </x:c>
      <x:c r="E18" s="33" t="str">
        <x:v>Later</x:v>
      </x:c>
      <x:c r="F18" s="33" t="str">
        <x:v>Build a measurement-first growth guide that separates acquisition, conversion and retention levers.</x:v>
      </x:c>
    </x:row>
    <x:row r="19" ht="58" customHeight="1">
      <x:c r="A19" s="33" t="str">
        <x:v>/resources/ideal-customer-profile-auto-repair-shop</x:v>
      </x:c>
      <x:c r="B19" s="33" t="str">
        <x:v>Customer avatar; ideal customer profile</x:v>
      </x:c>
      <x:c r="C19" s="33" t="str">
        <x:v>Informational</x:v>
      </x:c>
      <x:c r="D19" s="33" t="str">
        <x:v>Expand</x:v>
      </x:c>
      <x:c r="E19" s="33" t="str">
        <x:v>Later</x:v>
      </x:c>
      <x:c r="F19" s="33" t="str">
        <x:v>Add a fillable template, sample profiles, exclusion criteria and links to plan/audit resources.</x:v>
      </x:c>
    </x:row>
    <x:row r="20" ht="58" customHeight="1">
      <x:c r="A20" s="33" t="str">
        <x:v>/resources/multi-location-auto-repair-marketing</x:v>
      </x:c>
      <x:c r="B20" s="33" t="str">
        <x:v>Multi-location auto repair marketing</x:v>
      </x:c>
      <x:c r="C20" s="33" t="str">
        <x:v>Commercial informational</x:v>
      </x:c>
      <x:c r="D20" s="33" t="str">
        <x:v>Create</x:v>
      </x:c>
      <x:c r="E20" s="33" t="str">
        <x:v>Backlog</x:v>
      </x:c>
      <x:c r="F20" s="33" t="str">
        <x:v>Cover governance, local consistency, reporting, budgets and vendor coordination for multi-location operators.</x:v>
      </x:c>
    </x:row>
  </x:sheetData>
  <x:mergeCells>
    <x:mergeCell ref="A1:F2"/>
    <x:mergeCell ref="A3:F3"/>
  </x:mergeCells>
  <x:dataValidations count="1">
    <x:dataValidation type="list" sqref="E6:E20">
      <x:formula1>"Now,Next,Later,Backlog"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5fe52522774c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62" hidden="0" customWidth="1"/>
    <x:col min="9" max="9" width="58" hidden="0" customWidth="1"/>
    <x:col min="10" max="10" width="28" hidden="0" customWidth="1"/>
  </x:cols>
  <x:sheetData>
    <x:row r="1" ht="28" customHeight="1">
      <x:c r="A1" s="3" t="str">
        <x:v>Competitor Gap Matrix</x:v>
      </x:c>
      <x:c r="B1" s="3" t="str">
        <x:v>Competitor Gap Matrix</x:v>
      </x:c>
      <x:c r="C1" s="3" t="str">
        <x:v>Competitor Gap Matrix</x:v>
      </x:c>
      <x:c r="D1" s="3" t="str">
        <x:v>Competitor Gap Matrix</x:v>
      </x:c>
      <x:c r="E1" s="3" t="str">
        <x:v>Competitor Gap Matrix</x:v>
      </x:c>
      <x:c r="F1" s="3" t="str">
        <x:v>Competitor Gap Matrix</x:v>
      </x:c>
      <x:c r="G1" s="3" t="str">
        <x:v>Competitor Gap Matrix</x:v>
      </x:c>
      <x:c r="H1" s="3" t="str">
        <x:v>Competitor Gap Matrix</x:v>
      </x:c>
      <x:c r="I1" s="3" t="str">
        <x:v>Competitor Gap Matrix</x:v>
      </x:c>
      <x:c r="J1" s="3" t="str">
        <x:v>Competitor Gap Matrix</x:v>
      </x:c>
    </x:row>
    <x:row r="2" ht="28" customHeight="1">
      <x:c r="A2" s="3" t="str">
        <x:v>Competitor Gap Matrix</x:v>
      </x:c>
      <x:c r="B2" s="3" t="str">
        <x:v>Competitor Gap Matrix</x:v>
      </x:c>
      <x:c r="C2" s="3" t="str">
        <x:v>Competitor Gap Matrix</x:v>
      </x:c>
      <x:c r="D2" s="3" t="str">
        <x:v>Competitor Gap Matrix</x:v>
      </x:c>
      <x:c r="E2" s="3" t="str">
        <x:v>Competitor Gap Matrix</x:v>
      </x:c>
      <x:c r="F2" s="3" t="str">
        <x:v>Competitor Gap Matrix</x:v>
      </x:c>
      <x:c r="G2" s="3" t="str">
        <x:v>Competitor Gap Matrix</x:v>
      </x:c>
      <x:c r="H2" s="3" t="str">
        <x:v>Competitor Gap Matrix</x:v>
      </x:c>
      <x:c r="I2" s="3" t="str">
        <x:v>Competitor Gap Matrix</x:v>
      </x:c>
      <x:c r="J2" s="3" t="str">
        <x:v>Competitor Gap Matrix</x:v>
      </x:c>
    </x:row>
    <x:row r="3" ht="28" customHeight="1">
      <x:c r="A3" s="7" t="str">
        <x:v>Keyword-level competitors are more useful than generic domain competitors because the word “Turnkey” creates unrelated brand overlap.</x:v>
      </x:c>
      <x:c r="B3" s="7" t="str">
        <x:v>Keyword-level competitors are more useful than generic domain competitors because the word “Turnkey” creates unrelated brand overlap.</x:v>
      </x:c>
      <x:c r="C3" s="7" t="str">
        <x:v>Keyword-level competitors are more useful than generic domain competitors because the word “Turnkey” creates unrelated brand overlap.</x:v>
      </x:c>
      <x:c r="D3" s="7" t="str">
        <x:v>Keyword-level competitors are more useful than generic domain competitors because the word “Turnkey” creates unrelated brand overlap.</x:v>
      </x:c>
      <x:c r="E3" s="7" t="str">
        <x:v>Keyword-level competitors are more useful than generic domain competitors because the word “Turnkey” creates unrelated brand overlap.</x:v>
      </x:c>
      <x:c r="F3" s="7" t="str">
        <x:v>Keyword-level competitors are more useful than generic domain competitors because the word “Turnkey” creates unrelated brand overlap.</x:v>
      </x:c>
      <x:c r="G3" s="7" t="str">
        <x:v>Keyword-level competitors are more useful than generic domain competitors because the word “Turnkey” creates unrelated brand overlap.</x:v>
      </x:c>
      <x:c r="H3" s="7" t="str">
        <x:v>Keyword-level competitors are more useful than generic domain competitors because the word “Turnkey” creates unrelated brand overlap.</x:v>
      </x:c>
      <x:c r="I3" s="7" t="str">
        <x:v>Keyword-level competitors are more useful than generic domain competitors because the word “Turnkey” creates unrelated brand overlap.</x:v>
      </x:c>
      <x:c r="J3" s="7" t="str">
        <x:v>Keyword-level competitors are more useful than generic domain competitors because the word “Turnkey” creates unrelated brand overlap.</x:v>
      </x:c>
    </x:row>
    <x:row r="5">
      <x:c r="A5" t="str">
        <x:v>Domain</x:v>
      </x:c>
      <x:c r="B5" t="str">
        <x:v>Positioning</x:v>
      </x:c>
      <x:c r="C5" t="str">
        <x:v>Authority</x:v>
      </x:c>
      <x:c r="D5" t="str">
        <x:v>Referring domains</x:v>
      </x:c>
      <x:c r="E5" t="str">
        <x:v>Backlinks</x:v>
      </x:c>
      <x:c r="F5" t="str">
        <x:v>Linked pages</x:v>
      </x:c>
      <x:c r="G5" t="str">
        <x:v>Winning format</x:v>
      </x:c>
      <x:c r="H5" t="str">
        <x:v>What Turnkey should learn</x:v>
      </x:c>
      <x:c r="I5" t="str">
        <x:v>Primary source</x:v>
      </x:c>
      <x:c r="J5" t="str">
        <x:v>Data source</x:v>
      </x:c>
    </x:row>
    <x:row r="6" ht="74" customHeight="1">
      <x:c r="A6" s="33" t="str">
        <x:v>turnkeyautomarketing.com</x:v>
      </x:c>
      <x:c r="B6" s="33" t="str">
        <x:v>Full-funnel marketing leadership for auto repair shops</x:v>
      </x:c>
      <x:c r="C6" s="34" t="n">
        <x:v>47</x:v>
      </x:c>
      <x:c r="D6" s="34" t="n">
        <x:v>81</x:v>
      </x:c>
      <x:c r="E6" s="34" t="n">
        <x:v>314</x:v>
      </x:c>
      <x:c r="F6" s="34" t="n">
        <x:v>8</x:v>
      </x:c>
      <x:c r="G6" s="33" t="str">
        <x:v>Existing plan page + service pages</x:v>
      </x:c>
      <x:c r="H6" s="33" t="str">
        <x:v>Concentrated authority: only 8 linked pages; build linkable templates, scorecards and case studies.</x:v>
      </x:c>
      <x:c r="I6" s="33" t="str">
        <x:v>https://www.turnkeyautomarketing.com/</x:v>
      </x:c>
      <x:c r="J6" s="33" t="str">
        <x:v>SE Ranking backlinks, 2026-08-04</x:v>
      </x:c>
    </x:row>
    <x:row r="7" ht="74" customHeight="1">
      <x:c r="A7" s="33" t="str">
        <x:v>autoshopsolutions.com</x:v>
      </x:c>
      <x:c r="B7" s="33" t="str">
        <x:v>Automotive-only digital marketing agency</x:v>
      </x:c>
      <x:c r="C7" s="34" t="n">
        <x:v>78</x:v>
      </x:c>
      <x:c r="D7" s="34" t="n">
        <x:v>1696</x:v>
      </x:c>
      <x:c r="E7" s="34" t="n">
        <x:v>52534</x:v>
      </x:c>
      <x:c r="F7" s="34" t="n">
        <x:v>132</x:v>
      </x:c>
      <x:c r="G7" s="33" t="str">
        <x:v>Industry/service pages + frequent timely insights</x:v>
      </x:c>
      <x:c r="H7" s="33" t="str">
        <x:v>Wins broad advertising/SEO/strategy terms with dedicated pages and a large content/link footprint.</x:v>
      </x:c>
      <x:c r="I7" s="33" t="str">
        <x:v>https://autoshopsolutions.com/</x:v>
      </x:c>
      <x:c r="J7" s="33" t="str">
        <x:v>SE Ranking backlinks, 2026-08-04</x:v>
      </x:c>
    </x:row>
    <x:row r="8" ht="74" customHeight="1">
      <x:c r="A8" s="33" t="str">
        <x:v>shopmarketingpros.com</x:v>
      </x:c>
      <x:c r="B8" s="33" t="str">
        <x:v>Marketing system and education for independent shops</x:v>
      </x:c>
      <x:c r="C8" s="34" t="n">
        <x:v>61</x:v>
      </x:c>
      <x:c r="D8" s="34" t="n">
        <x:v>490</x:v>
      </x:c>
      <x:c r="E8" s="34" t="n">
        <x:v>16218</x:v>
      </x:c>
      <x:c r="F8" s="34" t="n">
        <x:v>153</x:v>
      </x:c>
      <x:c r="G8" s="33" t="str">
        <x:v>Annual plans, guides, scorecards</x:v>
      </x:c>
      <x:c r="H8" s="33" t="str">
        <x:v>Uses current-year planning content and assessment lead magnets to capture educational demand.</x:v>
      </x:c>
      <x:c r="I8" s="33" t="str">
        <x:v>https://shopmarketingpros.com/2026-auto-repair-marketing-plan-grow-your-shop/</x:v>
      </x:c>
      <x:c r="J8" s="33" t="str">
        <x:v>SE Ranking backlinks, 2026-08-04</x:v>
      </x:c>
    </x:row>
    <x:row r="9" ht="74" customHeight="1">
      <x:c r="A9" s="33" t="str">
        <x:v>kukui.com</x:v>
      </x:c>
      <x:c r="B9" s="33" t="str">
        <x:v>All-in-one automotive marketing platform</x:v>
      </x:c>
      <x:c r="C9" s="34" t="n">
        <x:v>78</x:v>
      </x:c>
      <x:c r="D9" s="34" t="n">
        <x:v>2319</x:v>
      </x:c>
      <x:c r="E9" s="34" t="n">
        <x:v>248257</x:v>
      </x:c>
      <x:c r="F9" s="34" t="n">
        <x:v>322</x:v>
      </x:c>
      <x:c r="G9" s="33" t="str">
        <x:v>Step-by-step current-year guides</x:v>
      </x:c>
      <x:c r="H9" s="33" t="str">
        <x:v>Pairs product positioning with comprehensive planning content and AI-search topics.</x:v>
      </x:c>
      <x:c r="I9" s="33" t="str">
        <x:v>https://www.kukui.com/your-2026-auto-repair-shop-marketing-plan</x:v>
      </x:c>
      <x:c r="J9" s="33" t="str">
        <x:v>SE Ranking backlinks, 2026-08-04</x:v>
      </x:c>
    </x:row>
    <x:row r="10" ht="74" customHeight="1">
      <x:c r="A10" s="33" t="str">
        <x:v>elementdma.com</x:v>
      </x:c>
      <x:c r="B10" s="33" t="str">
        <x:v>Automotive digital marketing agency</x:v>
      </x:c>
      <x:c r="C10" s="34" t="n">
        <x:v>29</x:v>
      </x:c>
      <x:c r="D10" s="34" t="n">
        <x:v>63</x:v>
      </x:c>
      <x:c r="E10" s="34" t="n">
        <x:v>689</x:v>
      </x:c>
      <x:c r="F10" s="34" t="n">
        <x:v>12</x:v>
      </x:c>
      <x:c r="G10" s="33" t="str">
        <x:v>Comparison lists + calculators</x:v>
      </x:c>
      <x:c r="H10" s="33" t="str">
        <x:v>Uses linkable calculators and list content; a smaller authority profile can still win specific tools/topics.</x:v>
      </x:c>
      <x:c r="I10" s="33" t="str">
        <x:v>https://elementdma.com/blog/top-23-auto-repair-marketing-companies-in-the-us/</x:v>
      </x:c>
      <x:c r="J10" s="33" t="str">
        <x:v>SE Ranking backlinks, 2026-08-04</x:v>
      </x:c>
    </x:row>
    <x:row r="11" ht="74" customHeight="1">
      <x:c r="A11" s="33" t="str">
        <x:v>autoshopdigital.com</x:v>
      </x:c>
      <x:c r="B11" s="33" t="str">
        <x:v>Managed digital marketing for repair shops</x:v>
      </x:c>
      <x:c r="C11" s="34" t="n">
        <x:v>41</x:v>
      </x:c>
      <x:c r="D11" s="34" t="n">
        <x:v>110</x:v>
      </x:c>
      <x:c r="E11" s="34" t="n">
        <x:v>519</x:v>
      </x:c>
      <x:c r="F11" s="34" t="n">
        <x:v>23</x:v>
      </x:c>
      <x:c r="G11" s="33" t="str">
        <x:v>Templates, guides and service pages</x:v>
      </x:c>
      <x:c r="H11" s="33" t="str">
        <x:v>Ranks with practical one-page planning templates and tightly interlinked service education.</x:v>
      </x:c>
      <x:c r="I11" s="33" t="str">
        <x:v>https://www.autoshopdigital.com/blog/auto-repair-marketing-plan-guide/</x:v>
      </x:c>
      <x:c r="J11" s="33" t="str">
        <x:v>SE Ranking backlinks, 2026-08-04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fe6bdf8f066747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</x:cols>
  <x:sheetData>
    <x:row r="1" ht="28" customHeight="1">
      <x:c r="A1" s="3" t="str">
        <x:v>Implementation-Ready Content Briefs</x:v>
      </x:c>
      <x:c r="B1" s="3" t="str">
        <x:v>Implementation-Ready Content Briefs</x:v>
      </x:c>
      <x:c r="C1" s="3" t="str">
        <x:v>Implementation-Ready Content Briefs</x:v>
      </x:c>
      <x:c r="D1" s="3" t="str">
        <x:v>Implementation-Ready Content Briefs</x:v>
      </x:c>
      <x:c r="E1" s="3" t="str">
        <x:v>Implementation-Ready Content Briefs</x:v>
      </x:c>
      <x:c r="F1" s="3" t="str">
        <x:v>Implementation-Ready Content Briefs</x:v>
      </x:c>
      <x:c r="G1" s="3" t="str">
        <x:v>Implementation-Ready Content Briefs</x:v>
      </x:c>
      <x:c r="H1" s="3" t="str">
        <x:v>Implementation-Ready Content Briefs</x:v>
      </x:c>
    </x:row>
    <x:row r="2" ht="28" customHeight="1">
      <x:c r="A2" s="3" t="str">
        <x:v>Implementation-Ready Content Briefs</x:v>
      </x:c>
      <x:c r="B2" s="3" t="str">
        <x:v>Implementation-Ready Content Briefs</x:v>
      </x:c>
      <x:c r="C2" s="3" t="str">
        <x:v>Implementation-Ready Content Briefs</x:v>
      </x:c>
      <x:c r="D2" s="3" t="str">
        <x:v>Implementation-Ready Content Briefs</x:v>
      </x:c>
      <x:c r="E2" s="3" t="str">
        <x:v>Implementation-Ready Content Briefs</x:v>
      </x:c>
      <x:c r="F2" s="3" t="str">
        <x:v>Implementation-Ready Content Briefs</x:v>
      </x:c>
      <x:c r="G2" s="3" t="str">
        <x:v>Implementation-Ready Content Briefs</x:v>
      </x:c>
      <x:c r="H2" s="3" t="str">
        <x:v>Implementation-Ready Content Briefs</x:v>
      </x:c>
    </x:row>
    <x:row r="3" ht="28" customHeight="1">
      <x:c r="A3" s="7" t="str">
        <x:v>Five briefs selected for the best mix of first-party demand, competitor validation, business fit and linkability.</x:v>
      </x:c>
      <x:c r="B3" s="7" t="str">
        <x:v>Five briefs selected for the best mix of first-party demand, competitor validation, business fit and linkability.</x:v>
      </x:c>
      <x:c r="C3" s="7" t="str">
        <x:v>Five briefs selected for the best mix of first-party demand, competitor validation, business fit and linkability.</x:v>
      </x:c>
      <x:c r="D3" s="7" t="str">
        <x:v>Five briefs selected for the best mix of first-party demand, competitor validation, business fit and linkability.</x:v>
      </x:c>
      <x:c r="E3" s="7" t="str">
        <x:v>Five briefs selected for the best mix of first-party demand, competitor validation, business fit and linkability.</x:v>
      </x:c>
      <x:c r="F3" s="7" t="str">
        <x:v>Five briefs selected for the best mix of first-party demand, competitor validation, business fit and linkability.</x:v>
      </x:c>
      <x:c r="G3" s="7" t="str">
        <x:v>Five briefs selected for the best mix of first-party demand, competitor validation, business fit and linkability.</x:v>
      </x:c>
      <x:c r="H3" s="7" t="str">
        <x:v>Five briefs selected for the best mix of first-party demand, competitor validation, business fit and linkability.</x:v>
      </x:c>
    </x:row>
    <x:row r="5" ht="26" customHeight="1">
      <x:c r="A5" s="16" t="str">
        <x:v>1. auto repair marketing plan — 1 — Expand now</x:v>
      </x:c>
      <x:c r="B5" s="16" t="str">
        <x:v>1. auto repair marketing plan — 1 — Expand now</x:v>
      </x:c>
      <x:c r="C5" s="16" t="str">
        <x:v>1. auto repair marketing plan — 1 — Expand now</x:v>
      </x:c>
      <x:c r="D5" s="16" t="str">
        <x:v>1. auto repair marketing plan — 1 — Expand now</x:v>
      </x:c>
      <x:c r="E5" s="16" t="str">
        <x:v>1. auto repair marketing plan — 1 — Expand now</x:v>
      </x:c>
      <x:c r="F5" s="16" t="str">
        <x:v>1. auto repair marketing plan — 1 — Expand now</x:v>
      </x:c>
      <x:c r="G5" s="16" t="str">
        <x:v>1. auto repair marketing plan — 1 — Expand now</x:v>
      </x:c>
      <x:c r="H5" s="16" t="str">
        <x:v>1. auto repair marketing plan — 1 — Expand now</x:v>
      </x:c>
    </x:row>
    <x:row r="6" ht="52" customHeight="1">
      <x:c r="A6" s="38" t="str">
        <x:v>Intent</x:v>
      </x:c>
      <x:c r="B6" s="38"/>
      <x:c r="C6" s="26" t="str">
        <x:v>Informational / template</x:v>
      </x:c>
      <x:c r="D6" s="26"/>
      <x:c r="E6" s="38" t="str">
        <x:v>Recommended URL</x:v>
      </x:c>
      <x:c r="F6" s="38"/>
      <x:c r="G6" s="26" t="str">
        <x:v>/resources/auto-repair-marketing-plan</x:v>
      </x:c>
      <x:c r="H6" s="26"/>
    </x:row>
    <x:row r="7" ht="52" customHeight="1">
      <x:c r="A7" s="38" t="str">
        <x:v>Title tag</x:v>
      </x:c>
      <x:c r="B7" s="38"/>
      <x:c r="C7" s="26" t="str">
        <x:v>Auto Repair Marketing Plan: 2026 Template + Examples</x:v>
      </x:c>
      <x:c r="D7" s="26"/>
      <x:c r="E7" s="38" t="str">
        <x:v>H1</x:v>
      </x:c>
      <x:c r="F7" s="38"/>
      <x:c r="G7" s="26" t="str">
        <x:v>Build an Auto Repair Marketing Plan That Drives Car Count</x:v>
      </x:c>
      <x:c r="H7" s="26"/>
    </x:row>
    <x:row r="8" ht="52" customHeight="1">
      <x:c r="A8" s="38" t="str">
        <x:v>Meta description</x:v>
      </x:c>
      <x:c r="B8" s="38"/>
      <x:c r="C8" s="26" t="str">
        <x:v>Create a practical auto repair marketing plan with a one-page template, budget guidance, KPIs, quarterly priorities and examples for independent shops.</x:v>
      </x:c>
      <x:c r="D8" s="26"/>
      <x:c r="E8" s="38" t="str">
        <x:v>Differentiated angle</x:v>
      </x:c>
      <x:c r="F8" s="38"/>
      <x:c r="G8" s="26" t="str">
        <x:v>The owner-ready plan: one page first, detailed guidance second. Show how acquisition, conversion and retention work together.</x:v>
      </x:c>
      <x:c r="H8" s="26"/>
    </x:row>
    <x:row r="9" ht="78" customHeight="1">
      <x:c r="A9" s="38" t="str">
        <x:v>Outline</x:v>
      </x:c>
      <x:c r="B9" s="38"/>
      <x:c r="C9" s="26" t="str">
        <x:v>1) Downloadable one-page plan
2) Goals and baseline metrics
3) Ideal customer and market
4) Channel mix by objective
5) Budget and KPI table
6) 90-day calendar
7) Worked example
8) Monthly review checklist
9) FAQs</x:v>
      </x:c>
      <x:c r="D9" s="26"/>
      <x:c r="E9" s="38" t="str">
        <x:v>Required assets</x:v>
      </x:c>
      <x:c r="F9" s="38"/>
      <x:c r="G9" s="26" t="str">
        <x:v>Fillable one-page template; sample budget/KPI table; 90-day calendar; anonymized example; printable checklist.</x:v>
      </x:c>
      <x:c r="H9" s="26"/>
    </x:row>
    <x:row r="10" ht="78" customHeight="1">
      <x:c r="A10" s="38" t="str">
        <x:v>Internal links</x:v>
      </x:c>
      <x:c r="B10" s="38"/>
      <x:c r="C10" s="26" t="str">
        <x:v>Homepage; /services; VIP Marketing Manager; direct mail; digital; social; retention; customer avatar.</x:v>
      </x:c>
      <x:c r="D10" s="26"/>
      <x:c r="E10" s="38" t="str">
        <x:v>CTA</x:v>
      </x:c>
      <x:c r="F10" s="38"/>
      <x:c r="G10" s="26" t="str">
        <x:v>Primary: Get a marketing plan review. Secondary: Download the one-page template.</x:v>
      </x:c>
      <x:c r="H10" s="26"/>
    </x:row>
    <x:row r="11" ht="78" customHeight="1">
      <x:c r="A11" s="38" t="str">
        <x:v>Schema</x:v>
      </x:c>
      <x:c r="B11" s="38"/>
      <x:c r="C11" s="26" t="str">
        <x:v>Article + BreadcrumbList; FAQ only for visible, page-specific answers.</x:v>
      </x:c>
      <x:c r="D11" s="26"/>
      <x:c r="E11" s="38" t="str">
        <x:v>Proof / accuracy guardrail</x:v>
      </x:c>
      <x:c r="F11" s="38"/>
      <x:c r="G11" s="26" t="str">
        <x:v>Use real Turnkey process steps, named metrics and anonymized client examples. Avoid invented benchmarks.</x:v>
      </x:c>
      <x:c r="H11" s="26"/>
    </x:row>
    <x:row r="13" ht="26" customHeight="1">
      <x:c r="A13" s="16" t="str">
        <x:v>2. auto repair marketing companies — 2 — Create next</x:v>
      </x:c>
      <x:c r="B13" s="16" t="str">
        <x:v>2. auto repair marketing companies — 2 — Create next</x:v>
      </x:c>
      <x:c r="C13" s="16" t="str">
        <x:v>2. auto repair marketing companies — 2 — Create next</x:v>
      </x:c>
      <x:c r="D13" s="16" t="str">
        <x:v>2. auto repair marketing companies — 2 — Create next</x:v>
      </x:c>
      <x:c r="E13" s="16" t="str">
        <x:v>2. auto repair marketing companies — 2 — Create next</x:v>
      </x:c>
      <x:c r="F13" s="16" t="str">
        <x:v>2. auto repair marketing companies — 2 — Create next</x:v>
      </x:c>
      <x:c r="G13" s="16" t="str">
        <x:v>2. auto repair marketing companies — 2 — Create next</x:v>
      </x:c>
      <x:c r="H13" s="16" t="str">
        <x:v>2. auto repair marketing companies — 2 — Create next</x:v>
      </x:c>
    </x:row>
    <x:row r="14" ht="52" customHeight="1">
      <x:c r="A14" s="38" t="str">
        <x:v>Intent</x:v>
      </x:c>
      <x:c r="B14" s="38"/>
      <x:c r="C14" s="26" t="str">
        <x:v>Commercial research</x:v>
      </x:c>
      <x:c r="D14" s="26"/>
      <x:c r="E14" s="38" t="str">
        <x:v>Recommended URL</x:v>
      </x:c>
      <x:c r="F14" s="38"/>
      <x:c r="G14" s="26" t="str">
        <x:v>/resources/best-auto-repair-marketing-companies</x:v>
      </x:c>
      <x:c r="H14" s="26"/>
    </x:row>
    <x:row r="15" ht="52" customHeight="1">
      <x:c r="A15" s="38" t="str">
        <x:v>Title tag</x:v>
      </x:c>
      <x:c r="B15" s="38"/>
      <x:c r="C15" s="26" t="str">
        <x:v>Best Auto Repair Marketing Companies: How to Choose</x:v>
      </x:c>
      <x:c r="D15" s="26"/>
      <x:c r="E15" s="38" t="str">
        <x:v>H1</x:v>
      </x:c>
      <x:c r="F15" s="38"/>
      <x:c r="G15" s="26" t="str">
        <x:v>How to Compare Auto Repair Marketing Companies</x:v>
      </x:c>
      <x:c r="H15" s="26"/>
    </x:row>
    <x:row r="16" ht="52" customHeight="1">
      <x:c r="A16" s="38" t="str">
        <x:v>Meta description</x:v>
      </x:c>
      <x:c r="B16" s="38"/>
      <x:c r="C16" s="26" t="str">
        <x:v>Compare auto repair marketing companies by services, fit, measurement, ownership model and pricing approach. Use a transparent checklist to choose the right partner.</x:v>
      </x:c>
      <x:c r="D16" s="26"/>
      <x:c r="E16" s="38" t="str">
        <x:v>Differentiated angle</x:v>
      </x:c>
      <x:c r="F16" s="38"/>
      <x:c r="G16" s="26" t="str">
        <x:v>A buyer's guide, not a self-award. Publish methodology, include credible alternatives and explain which company type fits which shop.</x:v>
      </x:c>
      <x:c r="H16" s="26"/>
    </x:row>
    <x:row r="17" ht="78" customHeight="1">
      <x:c r="A17" s="38" t="str">
        <x:v>Outline</x:v>
      </x:c>
      <x:c r="B17" s="38"/>
      <x:c r="C17" s="26" t="str">
        <x:v>1) Quick comparison table
2) Evaluation methodology
3) Company profiles
4) Best-fit scenarios
5) Red flags
6) Questions to ask
7) Agency vs fractional leader vs software
8) Decision checklist
9) FAQs</x:v>
      </x:c>
      <x:c r="D17" s="26"/>
      <x:c r="E17" s="38" t="str">
        <x:v>Required assets</x:v>
      </x:c>
      <x:c r="F17" s="38"/>
      <x:c r="G17" s="26" t="str">
        <x:v>Scoring methodology; comparison table; downloadable interview checklist; disclosure explaining inclusion and update cadence.</x:v>
      </x:c>
      <x:c r="H17" s="26"/>
    </x:row>
    <x:row r="18" ht="78" customHeight="1">
      <x:c r="A18" s="38" t="str">
        <x:v>Internal links</x:v>
      </x:c>
      <x:c r="B18" s="38"/>
      <x:c r="C18" s="26" t="str">
        <x:v>Homepage; /services; VIP Marketing Manager; results; about; marketing plan.</x:v>
      </x:c>
      <x:c r="D18" s="26"/>
      <x:c r="E18" s="38" t="str">
        <x:v>CTA</x:v>
      </x:c>
      <x:c r="F18" s="38"/>
      <x:c r="G18" s="26" t="str">
        <x:v>Primary: Ask Turnkey for a fit assessment. Secondary: Download the agency interview checklist.</x:v>
      </x:c>
      <x:c r="H18" s="26"/>
    </x:row>
    <x:row r="19" ht="78" customHeight="1">
      <x:c r="A19" s="38" t="str">
        <x:v>Schema</x:v>
      </x:c>
      <x:c r="B19" s="38"/>
      <x:c r="C19" s="26" t="str">
        <x:v>Article + BreadcrumbList. Do not use Review/AggregateRating without eligible first-party review data.</x:v>
      </x:c>
      <x:c r="D19" s="26"/>
      <x:c r="E19" s="38" t="str">
        <x:v>Proof / accuracy guardrail</x:v>
      </x:c>
      <x:c r="F19" s="38"/>
      <x:c r="G19" s="26" t="str">
        <x:v>Source every factual competitor claim, date-stamp the review and allow corrections. Avoid unverifiable superlatives.</x:v>
      </x:c>
      <x:c r="H19" s="26"/>
    </x:row>
    <x:row r="21" ht="26" customHeight="1">
      <x:c r="A21" s="16" t="str">
        <x:v>3. auto repair marketing ideas — 3 — Create next</x:v>
      </x:c>
      <x:c r="B21" s="16" t="str">
        <x:v>3. auto repair marketing ideas — 3 — Create next</x:v>
      </x:c>
      <x:c r="C21" s="16" t="str">
        <x:v>3. auto repair marketing ideas — 3 — Create next</x:v>
      </x:c>
      <x:c r="D21" s="16" t="str">
        <x:v>3. auto repair marketing ideas — 3 — Create next</x:v>
      </x:c>
      <x:c r="E21" s="16" t="str">
        <x:v>3. auto repair marketing ideas — 3 — Create next</x:v>
      </x:c>
      <x:c r="F21" s="16" t="str">
        <x:v>3. auto repair marketing ideas — 3 — Create next</x:v>
      </x:c>
      <x:c r="G21" s="16" t="str">
        <x:v>3. auto repair marketing ideas — 3 — Create next</x:v>
      </x:c>
      <x:c r="H21" s="16" t="str">
        <x:v>3. auto repair marketing ideas — 3 — Create next</x:v>
      </x:c>
    </x:row>
    <x:row r="22" ht="52" customHeight="1">
      <x:c r="A22" s="38" t="str">
        <x:v>Intent</x:v>
      </x:c>
      <x:c r="B22" s="38"/>
      <x:c r="C22" s="26" t="str">
        <x:v>Informational</x:v>
      </x:c>
      <x:c r="D22" s="26"/>
      <x:c r="E22" s="38" t="str">
        <x:v>Recommended URL</x:v>
      </x:c>
      <x:c r="F22" s="38"/>
      <x:c r="G22" s="26" t="str">
        <x:v>/resources/auto-repair-marketing-ideas</x:v>
      </x:c>
      <x:c r="H22" s="26"/>
    </x:row>
    <x:row r="23" ht="52" customHeight="1">
      <x:c r="A23" s="38" t="str">
        <x:v>Title tag</x:v>
      </x:c>
      <x:c r="B23" s="38"/>
      <x:c r="C23" s="26" t="str">
        <x:v>21 Auto Repair Marketing Ideas Ranked by Effort and Impact</x:v>
      </x:c>
      <x:c r="D23" s="26"/>
      <x:c r="E23" s="38" t="str">
        <x:v>H1</x:v>
      </x:c>
      <x:c r="F23" s="38"/>
      <x:c r="G23" s="26" t="str">
        <x:v>Auto Repair Marketing Ideas You Can Actually Execute</x:v>
      </x:c>
      <x:c r="H23" s="26"/>
    </x:row>
    <x:row r="24" ht="52" customHeight="1">
      <x:c r="A24" s="38" t="str">
        <x:v>Meta description</x:v>
      </x:c>
      <x:c r="B24" s="38"/>
      <x:c r="C24" s="26" t="str">
        <x:v>Explore 21 practical auto repair marketing ideas ranked by cost, effort and time to impact—covering retention, referrals, digital, direct mail and community.</x:v>
      </x:c>
      <x:c r="D24" s="26"/>
      <x:c r="E24" s="38" t="str">
        <x:v>Differentiated angle</x:v>
      </x:c>
      <x:c r="F24" s="38"/>
      <x:c r="G24" s="26" t="str">
        <x:v>Prioritized ideas with decision support, not a generic list. Each idea includes who it fits, effort, cost range, metric and first step.</x:v>
      </x:c>
      <x:c r="H24" s="26"/>
    </x:row>
    <x:row r="25" ht="78" customHeight="1">
      <x:c r="A25" s="38" t="str">
        <x:v>Outline</x:v>
      </x:c>
      <x:c r="B25" s="38"/>
      <x:c r="C25" s="26" t="str">
        <x:v>1) Quick prioritization matrix
2) Start with retention
3) Referral ideas
4) GBP/review ideas
5) Direct mail ideas
6) Social/content ideas
7) Community partnerships
8) Measurement stack
9) 30-day starter plan</x:v>
      </x:c>
      <x:c r="D25" s="26"/>
      <x:c r="E25" s="38" t="str">
        <x:v>Required assets</x:v>
      </x:c>
      <x:c r="F25" s="38"/>
      <x:c r="G25" s="26" t="str">
        <x:v>Impact/effort matrix; channel KPI cheat sheet; 30-day plan; examples from Turnkey work where permission exists.</x:v>
      </x:c>
      <x:c r="H25" s="26"/>
    </x:row>
    <x:row r="26" ht="78" customHeight="1">
      <x:c r="A26" s="38" t="str">
        <x:v>Internal links</x:v>
      </x:c>
      <x:c r="B26" s="38"/>
      <x:c r="C26" s="26" t="str">
        <x:v>Marketing plan; retention; social; direct mail; digital; audit checklist; homepage.</x:v>
      </x:c>
      <x:c r="D26" s="26"/>
      <x:c r="E26" s="38" t="str">
        <x:v>CTA</x:v>
      </x:c>
      <x:c r="F26" s="38"/>
      <x:c r="G26" s="26" t="str">
        <x:v>Primary: Build my prioritized plan. Secondary: Use the 30-day starter checklist.</x:v>
      </x:c>
      <x:c r="H26" s="26"/>
    </x:row>
    <x:row r="27" ht="78" customHeight="1">
      <x:c r="A27" s="38" t="str">
        <x:v>Schema</x:v>
      </x:c>
      <x:c r="B27" s="38"/>
      <x:c r="C27" s="26" t="str">
        <x:v>Article + BreadcrumbList.</x:v>
      </x:c>
      <x:c r="D27" s="26"/>
      <x:c r="E27" s="38" t="str">
        <x:v>Proof / accuracy guardrail</x:v>
      </x:c>
      <x:c r="F27" s="38"/>
      <x:c r="G27" s="26" t="str">
        <x:v>Label cost/impact values as estimates unless backed by Turnkey data; include assumptions.</x:v>
      </x:c>
      <x:c r="H27" s="26"/>
    </x:row>
    <x:row r="29" ht="26" customHeight="1">
      <x:c r="A29" s="16" t="str">
        <x:v>4. marketing audit for auto repair shop — 4 — Create next</x:v>
      </x:c>
      <x:c r="B29" s="16" t="str">
        <x:v>4. marketing audit for auto repair shop — 4 — Create next</x:v>
      </x:c>
      <x:c r="C29" s="16" t="str">
        <x:v>4. marketing audit for auto repair shop — 4 — Create next</x:v>
      </x:c>
      <x:c r="D29" s="16" t="str">
        <x:v>4. marketing audit for auto repair shop — 4 — Create next</x:v>
      </x:c>
      <x:c r="E29" s="16" t="str">
        <x:v>4. marketing audit for auto repair shop — 4 — Create next</x:v>
      </x:c>
      <x:c r="F29" s="16" t="str">
        <x:v>4. marketing audit for auto repair shop — 4 — Create next</x:v>
      </x:c>
      <x:c r="G29" s="16" t="str">
        <x:v>4. marketing audit for auto repair shop — 4 — Create next</x:v>
      </x:c>
      <x:c r="H29" s="16" t="str">
        <x:v>4. marketing audit for auto repair shop — 4 — Create next</x:v>
      </x:c>
    </x:row>
    <x:row r="30" ht="52" customHeight="1">
      <x:c r="A30" s="38" t="str">
        <x:v>Intent</x:v>
      </x:c>
      <x:c r="B30" s="38"/>
      <x:c r="C30" s="26" t="str">
        <x:v>Lead generation</x:v>
      </x:c>
      <x:c r="D30" s="26"/>
      <x:c r="E30" s="38" t="str">
        <x:v>Recommended URL</x:v>
      </x:c>
      <x:c r="F30" s="38"/>
      <x:c r="G30" s="26" t="str">
        <x:v>/resources/auto-repair-marketing-audit-checklist</x:v>
      </x:c>
      <x:c r="H30" s="26"/>
    </x:row>
    <x:row r="31" ht="52" customHeight="1">
      <x:c r="A31" s="38" t="str">
        <x:v>Title tag</x:v>
      </x:c>
      <x:c r="B31" s="38"/>
      <x:c r="C31" s="26" t="str">
        <x:v>Auto Repair Marketing Audit Checklist + Scorecard</x:v>
      </x:c>
      <x:c r="D31" s="26"/>
      <x:c r="E31" s="38" t="str">
        <x:v>H1</x:v>
      </x:c>
      <x:c r="F31" s="38"/>
      <x:c r="G31" s="26" t="str">
        <x:v>Score Your Auto Repair Shop's Marketing in 15 Minutes</x:v>
      </x:c>
      <x:c r="H31" s="26"/>
    </x:row>
    <x:row r="32" ht="52" customHeight="1">
      <x:c r="A32" s="38" t="str">
        <x:v>Meta description</x:v>
      </x:c>
      <x:c r="B32" s="38"/>
      <x:c r="C32" s="26" t="str">
        <x:v>Use this auto repair marketing audit checklist to score positioning, tracking, reviews, retention, direct mail, social media and planning.</x:v>
      </x:c>
      <x:c r="D32" s="26"/>
      <x:c r="E32" s="38" t="str">
        <x:v>Differentiated angle</x:v>
      </x:c>
      <x:c r="F32" s="38"/>
      <x:c r="G32" s="26" t="str">
        <x:v>A genuinely useful diagnostic. Return a score, the top three fixes and the next metric to watch.</x:v>
      </x:c>
      <x:c r="H32" s="26"/>
    </x:row>
    <x:row r="33" ht="78" customHeight="1">
      <x:c r="A33" s="38" t="str">
        <x:v>Outline</x:v>
      </x:c>
      <x:c r="B33" s="38"/>
      <x:c r="C33" s="26" t="str">
        <x:v>1) How scoring works
2) Positioning
3) Tracking and attribution
4) Website/GBP/reviews
5) Retention
6) Direct mail
7) Social/content
8) Planning/accountability
9) Score bands and next actions</x:v>
      </x:c>
      <x:c r="D33" s="26"/>
      <x:c r="E33" s="38" t="str">
        <x:v>Required assets</x:v>
      </x:c>
      <x:c r="F33" s="38"/>
      <x:c r="G33" s="26" t="str">
        <x:v>Excel/PDF scorecard; benchmark-free scoring rubric; prioritized remediation table; optional consultation handoff.</x:v>
      </x:c>
      <x:c r="H33" s="26"/>
    </x:row>
    <x:row r="34" ht="78" customHeight="1">
      <x:c r="A34" s="38" t="str">
        <x:v>Internal links</x:v>
      </x:c>
      <x:c r="B34" s="38"/>
      <x:c r="C34" s="26" t="str">
        <x:v>Homepage; /services; results; marketing plan; digital; retention; direct mail; social.</x:v>
      </x:c>
      <x:c r="D34" s="26"/>
      <x:c r="E34" s="38" t="str">
        <x:v>CTA</x:v>
      </x:c>
      <x:c r="F34" s="38"/>
      <x:c r="G34" s="26" t="str">
        <x:v>Primary: Request a professional audit. Secondary: Download the scorecard.</x:v>
      </x:c>
      <x:c r="H34" s="26"/>
    </x:row>
    <x:row r="35" ht="78" customHeight="1">
      <x:c r="A35" s="38" t="str">
        <x:v>Schema</x:v>
      </x:c>
      <x:c r="B35" s="38"/>
      <x:c r="C35" s="26" t="str">
        <x:v>Article + BreadcrumbList; SoftwareApplication only if a true interactive tool is shipped and eligibility is met.</x:v>
      </x:c>
      <x:c r="D35" s="26"/>
      <x:c r="E35" s="38" t="str">
        <x:v>Proof / accuracy guardrail</x:v>
      </x:c>
      <x:c r="F35" s="38"/>
      <x:c r="G35" s="26" t="str">
        <x:v>Explain scoring weights and avoid implying industry benchmarks without a source.</x:v>
      </x:c>
      <x:c r="H35" s="26"/>
    </x:row>
    <x:row r="37" ht="26" customHeight="1">
      <x:c r="A37" s="16" t="str">
        <x:v>5. auto repair direct mail — 5 — Expand next</x:v>
      </x:c>
      <x:c r="B37" s="16" t="str">
        <x:v>5. auto repair direct mail — 5 — Expand next</x:v>
      </x:c>
      <x:c r="C37" s="16" t="str">
        <x:v>5. auto repair direct mail — 5 — Expand next</x:v>
      </x:c>
      <x:c r="D37" s="16" t="str">
        <x:v>5. auto repair direct mail — 5 — Expand next</x:v>
      </x:c>
      <x:c r="E37" s="16" t="str">
        <x:v>5. auto repair direct mail — 5 — Expand next</x:v>
      </x:c>
      <x:c r="F37" s="16" t="str">
        <x:v>5. auto repair direct mail — 5 — Expand next</x:v>
      </x:c>
      <x:c r="G37" s="16" t="str">
        <x:v>5. auto repair direct mail — 5 — Expand next</x:v>
      </x:c>
      <x:c r="H37" s="16" t="str">
        <x:v>5. auto repair direct mail — 5 — Expand next</x:v>
      </x:c>
    </x:row>
    <x:row r="38" ht="52" customHeight="1">
      <x:c r="A38" s="38" t="str">
        <x:v>Intent</x:v>
      </x:c>
      <x:c r="B38" s="38"/>
      <x:c r="C38" s="26" t="str">
        <x:v>Mixed informational / commercial</x:v>
      </x:c>
      <x:c r="D38" s="26"/>
      <x:c r="E38" s="38" t="str">
        <x:v>Recommended URL</x:v>
      </x:c>
      <x:c r="F38" s="38"/>
      <x:c r="G38" s="26" t="str">
        <x:v>/resources/direct-mail-for-repair-shops</x:v>
      </x:c>
      <x:c r="H38" s="26"/>
    </x:row>
    <x:row r="39" ht="52" customHeight="1">
      <x:c r="A39" s="38" t="str">
        <x:v>Title tag</x:v>
      </x:c>
      <x:c r="B39" s="38"/>
      <x:c r="C39" s="26" t="str">
        <x:v>Auto Repair Direct Mail: Examples, Cost, Tracking and ROI</x:v>
      </x:c>
      <x:c r="D39" s="26"/>
      <x:c r="E39" s="38" t="str">
        <x:v>H1</x:v>
      </x:c>
      <x:c r="F39" s="38"/>
      <x:c r="G39" s="26" t="str">
        <x:v>A Practical Guide to Auto Repair Direct Mail</x:v>
      </x:c>
      <x:c r="H39" s="26"/>
    </x:row>
    <x:row r="40" ht="52" customHeight="1">
      <x:c r="A40" s="38" t="str">
        <x:v>Meta description</x:v>
      </x:c>
      <x:c r="B40" s="38"/>
      <x:c r="C40" s="26" t="str">
        <x:v>See auto repair direct mail examples, targeting options, cost drivers, tracking methods and campaign planning tips for independent repair shops.</x:v>
      </x:c>
      <x:c r="D40" s="26"/>
      <x:c r="E40" s="38" t="str">
        <x:v>Differentiated angle</x:v>
      </x:c>
      <x:c r="F40" s="38"/>
      <x:c r="G40" s="26" t="str">
        <x:v>Show the economics and workflow. Help owners decide when direct mail fits, then route ready buyers to the service page.</x:v>
      </x:c>
      <x:c r="H40" s="26"/>
    </x:row>
    <x:row r="41" ht="78" customHeight="1">
      <x:c r="A41" s="38" t="str">
        <x:v>Outline</x:v>
      </x:c>
      <x:c r="B41" s="38"/>
      <x:c r="C41" s="26" t="str">
        <x:v>1) When direct mail works
2) Offer and audience
3) Formats/examples
4) Cost drivers
5) Cadence
6) Tracking calls/codes/invoices
7) ROI model
8) Common mistakes
9) Campaign checklist
10) FAQs</x:v>
      </x:c>
      <x:c r="D41" s="26"/>
      <x:c r="E41" s="38" t="str">
        <x:v>Required assets</x:v>
      </x:c>
      <x:c r="F41" s="38"/>
      <x:c r="G41" s="26" t="str">
        <x:v>Anonymized mailer examples; cost-input worksheet; campaign checklist; simple ROI calculator assumptions.</x:v>
      </x:c>
      <x:c r="H41" s="26"/>
    </x:row>
    <x:row r="42" ht="78" customHeight="1">
      <x:c r="A42" s="38" t="str">
        <x:v>Internal links</x:v>
      </x:c>
      <x:c r="B42" s="38"/>
      <x:c r="C42" s="26" t="str">
        <x:v>Direct mail service; marketing plan; retention; results; homepage; audit checklist.</x:v>
      </x:c>
      <x:c r="D42" s="26"/>
      <x:c r="E42" s="38" t="str">
        <x:v>CTA</x:v>
      </x:c>
      <x:c r="F42" s="38"/>
      <x:c r="G42" s="26" t="str">
        <x:v>Primary: Plan a direct mail campaign. Secondary: Download the campaign checklist.</x:v>
      </x:c>
      <x:c r="H42" s="26"/>
    </x:row>
    <x:row r="43" ht="78" customHeight="1">
      <x:c r="A43" s="38" t="str">
        <x:v>Schema</x:v>
      </x:c>
      <x:c r="B43" s="38"/>
      <x:c r="C43" s="26" t="str">
        <x:v>Article + BreadcrumbList; FAQ only for visible questions.</x:v>
      </x:c>
      <x:c r="D43" s="26"/>
      <x:c r="E43" s="38" t="str">
        <x:v>Proof / accuracy guardrail</x:v>
      </x:c>
      <x:c r="F43" s="38"/>
      <x:c r="G43" s="26" t="str">
        <x:v>Use ranges with disclosed assumptions; replace samples with approved client examples whenever possible.</x:v>
      </x:c>
      <x:c r="H43" s="26"/>
    </x:row>
  </x:sheetData>
  <x:mergeCells>
    <x:mergeCell ref="A1:H2"/>
    <x:mergeCell ref="A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D8"/>
    <x:mergeCell ref="E8:F8"/>
    <x:mergeCell ref="G8:H8"/>
    <x:mergeCell ref="A9:B9"/>
    <x:mergeCell ref="C9:D9"/>
    <x:mergeCell ref="E9:F9"/>
    <x:mergeCell ref="G9:H9"/>
    <x:mergeCell ref="A10:B10"/>
    <x:mergeCell ref="C10:D10"/>
    <x:mergeCell ref="E10:F10"/>
    <x:mergeCell ref="G10:H10"/>
    <x:mergeCell ref="A11:B11"/>
    <x:mergeCell ref="C11:D11"/>
    <x:mergeCell ref="E11:F11"/>
    <x:mergeCell ref="G11:H11"/>
    <x:mergeCell ref="A13:H13"/>
    <x:mergeCell ref="A14:B14"/>
    <x:mergeCell ref="C14:D14"/>
    <x:mergeCell ref="E14:F14"/>
    <x:mergeCell ref="G14:H14"/>
    <x:mergeCell ref="A15:B15"/>
    <x:mergeCell ref="C15:D15"/>
    <x:mergeCell ref="E15:F15"/>
    <x:mergeCell ref="G15:H15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1:H21"/>
    <x:mergeCell ref="A22:B22"/>
    <x:mergeCell ref="C22:D22"/>
    <x:mergeCell ref="E22:F22"/>
    <x:mergeCell ref="G22:H22"/>
    <x:mergeCell ref="A23:B23"/>
    <x:mergeCell ref="C23:D23"/>
    <x:mergeCell ref="E23:F23"/>
    <x:mergeCell ref="G23:H23"/>
    <x:mergeCell ref="A24:B24"/>
    <x:mergeCell ref="C24:D24"/>
    <x:mergeCell ref="E24:F24"/>
    <x:mergeCell ref="G24:H24"/>
    <x:mergeCell ref="A25:B25"/>
    <x:mergeCell ref="C25:D25"/>
    <x:mergeCell ref="E25:F25"/>
    <x:mergeCell ref="G25:H25"/>
    <x:mergeCell ref="A26:B26"/>
    <x:mergeCell ref="C26:D26"/>
    <x:mergeCell ref="E26:F26"/>
    <x:mergeCell ref="G26:H26"/>
    <x:mergeCell ref="A27:B27"/>
    <x:mergeCell ref="C27:D27"/>
    <x:mergeCell ref="E27:F27"/>
    <x:mergeCell ref="G27:H27"/>
    <x:mergeCell ref="A29:H29"/>
    <x:mergeCell ref="A30:B30"/>
    <x:mergeCell ref="C30:D30"/>
    <x:mergeCell ref="E30:F30"/>
    <x:mergeCell ref="G30:H30"/>
    <x:mergeCell ref="A31:B31"/>
    <x:mergeCell ref="C31:D31"/>
    <x:mergeCell ref="E31:F31"/>
    <x:mergeCell ref="G31:H31"/>
    <x:mergeCell ref="A32:B32"/>
    <x:mergeCell ref="C32:D32"/>
    <x:mergeCell ref="E32:F32"/>
    <x:mergeCell ref="G32:H32"/>
    <x:mergeCell ref="A33:B33"/>
    <x:mergeCell ref="C33:D33"/>
    <x:mergeCell ref="E33:F33"/>
    <x:mergeCell ref="G33:H33"/>
    <x:mergeCell ref="A34:B34"/>
    <x:mergeCell ref="C34:D34"/>
    <x:mergeCell ref="E34:F34"/>
    <x:mergeCell ref="G34:H34"/>
    <x:mergeCell ref="A35:B35"/>
    <x:mergeCell ref="C35:D35"/>
    <x:mergeCell ref="E35:F35"/>
    <x:mergeCell ref="G35:H35"/>
    <x:mergeCell ref="A37:H37"/>
    <x:mergeCell ref="A38:B38"/>
    <x:mergeCell ref="C38:D38"/>
    <x:mergeCell ref="E38:F38"/>
    <x:mergeCell ref="G38:H38"/>
    <x:mergeCell ref="A39:B39"/>
    <x:mergeCell ref="C39:D39"/>
    <x:mergeCell ref="E39:F39"/>
    <x:mergeCell ref="G39:H39"/>
    <x:mergeCell ref="A40:B40"/>
    <x:mergeCell ref="C40:D40"/>
    <x:mergeCell ref="E40:F40"/>
    <x:mergeCell ref="G40:H40"/>
    <x:mergeCell ref="A41:B41"/>
    <x:mergeCell ref="C41:D41"/>
    <x:mergeCell ref="E41:F41"/>
    <x:mergeCell ref="G41:H41"/>
    <x:mergeCell ref="A42:B42"/>
    <x:mergeCell ref="C42:D42"/>
    <x:mergeCell ref="E42:F42"/>
    <x:mergeCell ref="G42:H42"/>
    <x:mergeCell ref="A43:B43"/>
    <x:mergeCell ref="C43:D43"/>
    <x:mergeCell ref="E43:F43"/>
    <x:mergeCell ref="G43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0" hidden="0" customWidth="1"/>
    <x:col min="7" max="7" width="22" hidden="0" customWidth="1"/>
  </x:cols>
  <x:sheetData>
    <x:row r="1" ht="28" customHeight="1">
      <x:c r="A1" s="3" t="str">
        <x:v>GSC Queries 28d</x:v>
      </x:c>
      <x:c r="B1" s="3" t="str">
        <x:v>GSC Queries 28d</x:v>
      </x:c>
      <x:c r="C1" s="3" t="str">
        <x:v>GSC Queries 28d</x:v>
      </x:c>
      <x:c r="D1" s="3" t="str">
        <x:v>GSC Queries 28d</x:v>
      </x:c>
      <x:c r="E1" s="3" t="str">
        <x:v>GSC Queries 28d</x:v>
      </x:c>
      <x:c r="F1" s="3" t="str">
        <x:v>GSC Queries 28d</x:v>
      </x:c>
      <x:c r="G1" s="3" t="str">
        <x:v>GSC Queries 28d</x:v>
      </x:c>
    </x:row>
    <x:row r="2" ht="28" customHeight="1">
      <x:c r="A2" s="3" t="str">
        <x:v>GSC Queries 28d</x:v>
      </x:c>
      <x:c r="B2" s="3" t="str">
        <x:v>GSC Queries 28d</x:v>
      </x:c>
      <x:c r="C2" s="3" t="str">
        <x:v>GSC Queries 28d</x:v>
      </x:c>
      <x:c r="D2" s="3" t="str">
        <x:v>GSC Queries 28d</x:v>
      </x:c>
      <x:c r="E2" s="3" t="str">
        <x:v>GSC Queries 28d</x:v>
      </x:c>
      <x:c r="F2" s="3" t="str">
        <x:v>GSC Queries 28d</x:v>
      </x:c>
      <x:c r="G2" s="3" t="str">
        <x:v>GSC Queries 28d</x:v>
      </x:c>
    </x:row>
    <x:row r="3" ht="28" customHeight="1">
      <x:c r="A3" s="7" t="str">
        <x:v>Untouched Google Search Console query export plus two adjacent analysis helper columns.</x:v>
      </x:c>
      <x:c r="B3" s="7" t="str">
        <x:v>Untouched Google Search Console query export plus two adjacent analysis helper columns.</x:v>
      </x:c>
      <x:c r="C3" s="7" t="str">
        <x:v>Untouched Google Search Console query export plus two adjacent analysis helper columns.</x:v>
      </x:c>
      <x:c r="D3" s="7" t="str">
        <x:v>Untouched Google Search Console query export plus two adjacent analysis helper columns.</x:v>
      </x:c>
      <x:c r="E3" s="7" t="str">
        <x:v>Untouched Google Search Console query export plus two adjacent analysis helper columns.</x:v>
      </x:c>
      <x:c r="F3" s="7" t="str">
        <x:v>Untouched Google Search Console query export plus two adjacent analysis helper columns.</x:v>
      </x:c>
      <x:c r="G3" s="7" t="str">
        <x:v>Untouched Google Search Console query export plus two adjacent analysis helper columns.</x:v>
      </x:c>
    </x:row>
    <x:row r="5">
      <x:c r="A5" t="str">
        <x:v>Top queries</x:v>
      </x:c>
      <x:c r="B5" t="str">
        <x:v>Clicks</x:v>
      </x:c>
      <x:c r="C5" t="str">
        <x:v>Impressions</x:v>
      </x:c>
      <x:c r="D5" t="str">
        <x:v>CTR</x:v>
      </x:c>
      <x:c r="E5" t="str">
        <x:v>Position</x:v>
      </x:c>
      <x:c r="F5" t="str">
        <x:v>Cluster</x:v>
      </x:c>
      <x:c r="G5" t="str">
        <x:v>Impression-weighted position</x:v>
      </x:c>
    </x:row>
    <x:row r="6">
      <x:c r="A6" t="str">
        <x:v>turnkey marketing</x:v>
      </x:c>
      <x:c r="B6" s="8" t="n">
        <x:v>40</x:v>
      </x:c>
      <x:c r="C6" s="8" t="n">
        <x:v>357</x:v>
      </x:c>
      <x:c r="D6" s="9" t="n">
        <x:v>0.11199999999999999</x:v>
      </x:c>
      <x:c r="E6" s="10" t="n">
        <x:v>2.29</x:v>
      </x:c>
      <x:c r="F6" t="str">
        <x:v>Branded</x:v>
      </x:c>
      <x:c r="G6" s="11" t="n">
        <x:f>C6*E6</x:f>
        <x:v>817.53</x:v>
      </x:c>
    </x:row>
    <x:row r="7">
      <x:c r="A7" t="str">
        <x:v>turnkey auto marketing</x:v>
      </x:c>
      <x:c r="B7" s="8" t="n">
        <x:v>5</x:v>
      </x:c>
      <x:c r="C7" s="8" t="n">
        <x:v>21</x:v>
      </x:c>
      <x:c r="D7" s="9" t="n">
        <x:v>0.23809999999999998</x:v>
      </x:c>
      <x:c r="E7" s="10" t="n">
        <x:v>2.38</x:v>
      </x:c>
      <x:c r="F7" t="str">
        <x:v>Branded</x:v>
      </x:c>
      <x:c r="G7" s="11" t="n">
        <x:f>C7*E7</x:f>
        <x:v>49.98</x:v>
      </x:c>
    </x:row>
    <x:row r="8">
      <x:c r="A8" t="str">
        <x:v>turnkeyautomarketing.com</x:v>
      </x:c>
      <x:c r="B8" s="8" t="n">
        <x:v>2</x:v>
      </x:c>
      <x:c r="C8" s="8" t="n">
        <x:v>26</x:v>
      </x:c>
      <x:c r="D8" s="9" t="n">
        <x:v>0.07690000000000001</x:v>
      </x:c>
      <x:c r="E8" s="10" t="n">
        <x:v>1.23</x:v>
      </x:c>
      <x:c r="F8" t="str">
        <x:v>Branded</x:v>
      </x:c>
      <x:c r="G8" s="11" t="n">
        <x:f>C8*E8</x:f>
        <x:v>31.98</x:v>
      </x:c>
    </x:row>
    <x:row r="9">
      <x:c r="A9" t="str">
        <x:v>turnkey marketing solutions</x:v>
      </x:c>
      <x:c r="B9" s="8" t="n">
        <x:v>1</x:v>
      </x:c>
      <x:c r="C9" s="8" t="n">
        <x:v>361</x:v>
      </x:c>
      <x:c r="D9" s="9" t="n">
        <x:v>0.0028000000000000004</x:v>
      </x:c>
      <x:c r="E9" s="10" t="n">
        <x:v>19.53</x:v>
      </x:c>
      <x:c r="F9" t="str">
        <x:v>Branded</x:v>
      </x:c>
      <x:c r="G9" s="11" t="n">
        <x:f>C9*E9</x:f>
        <x:v>7050.330000000001</x:v>
      </x:c>
    </x:row>
    <x:row r="10">
      <x:c r="A10" t="str">
        <x:v>auto repair marketing agency</x:v>
      </x:c>
      <x:c r="B10" s="8" t="n">
        <x:v>1</x:v>
      </x:c>
      <x:c r="C10" s="8" t="n">
        <x:v>125</x:v>
      </x:c>
      <x:c r="D10" s="9" t="n">
        <x:v>0.008</x:v>
      </x:c>
      <x:c r="E10" s="10" t="n">
        <x:v>24.72</x:v>
      </x:c>
      <x:c r="F10" t="str">
        <x:v>Agency / Consultant</x:v>
      </x:c>
      <x:c r="G10" s="11" t="n">
        <x:f>C10*E10</x:f>
        <x:v>3090</x:v>
      </x:c>
    </x:row>
    <x:row r="11">
      <x:c r="A11" t="str">
        <x:v>turnkey</x:v>
      </x:c>
      <x:c r="B11" s="8" t="n">
        <x:v>1</x:v>
      </x:c>
      <x:c r="C11" s="8" t="n">
        <x:v>35</x:v>
      </x:c>
      <x:c r="D11" s="9" t="n">
        <x:v>0.0286</x:v>
      </x:c>
      <x:c r="E11" s="10" t="n">
        <x:v>3.49</x:v>
      </x:c>
      <x:c r="F11" t="str">
        <x:v>Branded</x:v>
      </x:c>
      <x:c r="G11" s="11" t="n">
        <x:f>C11*E11</x:f>
        <x:v>122.15</x:v>
      </x:c>
    </x:row>
    <x:row r="12">
      <x:c r="A12" t="str">
        <x:v>turnkey marketing management</x:v>
      </x:c>
      <x:c r="B12" s="8" t="n">
        <x:v>0</x:v>
      </x:c>
      <x:c r="C12" s="8" t="n">
        <x:v>427</x:v>
      </x:c>
      <x:c r="D12" s="9" t="n">
        <x:v>0</x:v>
      </x:c>
      <x:c r="E12" s="10" t="n">
        <x:v>15.56</x:v>
      </x:c>
      <x:c r="F12" t="str">
        <x:v>Branded</x:v>
      </x:c>
      <x:c r="G12" s="11" t="n">
        <x:f>C12*E12</x:f>
        <x:v>6644.12</x:v>
      </x:c>
    </x:row>
    <x:row r="13">
      <x:c r="A13" t="str">
        <x:v>auto repair marketing companies</x:v>
      </x:c>
      <x:c r="B13" s="8" t="n">
        <x:v>0</x:v>
      </x:c>
      <x:c r="C13" s="8" t="n">
        <x:v>302</x:v>
      </x:c>
      <x:c r="D13" s="9" t="n">
        <x:v>0</x:v>
      </x:c>
      <x:c r="E13" s="10" t="n">
        <x:v>20.59</x:v>
      </x:c>
      <x:c r="F13" t="str">
        <x:v>Comparison / Companies</x:v>
      </x:c>
      <x:c r="G13" s="11" t="n">
        <x:f>C13*E13</x:f>
        <x:v>6218.18</x:v>
      </x:c>
    </x:row>
    <x:row r="14">
      <x:c r="A14" t="str">
        <x:v>auto repair marketing</x:v>
      </x:c>
      <x:c r="B14" s="8" t="n">
        <x:v>0</x:v>
      </x:c>
      <x:c r="C14" s="8" t="n">
        <x:v>246</x:v>
      </x:c>
      <x:c r="D14" s="9" t="n">
        <x:v>0</x:v>
      </x:c>
      <x:c r="E14" s="10" t="n">
        <x:v>34.54</x:v>
      </x:c>
      <x:c r="F14" t="str">
        <x:v>Core Marketing</x:v>
      </x:c>
      <x:c r="G14" s="11" t="n">
        <x:f>C14*E14</x:f>
        <x:v>8496.84</x:v>
      </x:c>
    </x:row>
    <x:row r="15">
      <x:c r="A15" t="str">
        <x:v>turnkey digital marketing</x:v>
      </x:c>
      <x:c r="B15" s="8" t="n">
        <x:v>0</x:v>
      </x:c>
      <x:c r="C15" s="8" t="n">
        <x:v>204</x:v>
      </x:c>
      <x:c r="D15" s="9" t="n">
        <x:v>0</x:v>
      </x:c>
      <x:c r="E15" s="10" t="n">
        <x:v>9</x:v>
      </x:c>
      <x:c r="F15" t="str">
        <x:v>Branded</x:v>
      </x:c>
      <x:c r="G15" s="11" t="n">
        <x:f>C15*E15</x:f>
        <x:v>1836</x:v>
      </x:c>
    </x:row>
    <x:row r="16">
      <x:c r="A16" t="str">
        <x:v>marketing agency near me</x:v>
      </x:c>
      <x:c r="B16" s="8" t="n">
        <x:v>0</x:v>
      </x:c>
      <x:c r="C16" s="8" t="n">
        <x:v>183</x:v>
      </x:c>
      <x:c r="D16" s="9" t="n">
        <x:v>0</x:v>
      </x:c>
      <x:c r="E16" s="10" t="n">
        <x:v>1</x:v>
      </x:c>
      <x:c r="F16" t="str">
        <x:v>Agency / Consultant</x:v>
      </x:c>
      <x:c r="G16" s="11" t="n">
        <x:f>C16*E16</x:f>
        <x:v>183</x:v>
      </x:c>
    </x:row>
    <x:row r="17">
      <x:c r="A17" t="str">
        <x:v>auto repair marketing plan</x:v>
      </x:c>
      <x:c r="B17" s="8" t="n">
        <x:v>0</x:v>
      </x:c>
      <x:c r="C17" s="8" t="n">
        <x:v>159</x:v>
      </x:c>
      <x:c r="D17" s="9" t="n">
        <x:v>0</x:v>
      </x:c>
      <x:c r="E17" s="10" t="n">
        <x:v>24.13</x:v>
      </x:c>
      <x:c r="F17" t="str">
        <x:v>Marketing Plan / Strategy</x:v>
      </x:c>
      <x:c r="G17" s="11" t="n">
        <x:f>C17*E17</x:f>
        <x:v>3836.6699999999996</x:v>
      </x:c>
    </x:row>
    <x:row r="18">
      <x:c r="A18" t="str">
        <x:v>auto repair digital marketing</x:v>
      </x:c>
      <x:c r="B18" s="8" t="n">
        <x:v>0</x:v>
      </x:c>
      <x:c r="C18" s="8" t="n">
        <x:v>129</x:v>
      </x:c>
      <x:c r="D18" s="9" t="n">
        <x:v>0</x:v>
      </x:c>
      <x:c r="E18" s="10" t="n">
        <x:v>52.4</x:v>
      </x:c>
      <x:c r="F18" t="str">
        <x:v>Digital Marketing</x:v>
      </x:c>
      <x:c r="G18" s="11" t="n">
        <x:f>C18*E18</x:f>
        <x:v>6759.599999999999</x:v>
      </x:c>
    </x:row>
    <x:row r="19">
      <x:c r="A19" t="str">
        <x:v>auto repair shop marketing agency</x:v>
      </x:c>
      <x:c r="B19" s="8" t="n">
        <x:v>0</x:v>
      </x:c>
      <x:c r="C19" s="8" t="n">
        <x:v>111</x:v>
      </x:c>
      <x:c r="D19" s="9" t="n">
        <x:v>0</x:v>
      </x:c>
      <x:c r="E19" s="10" t="n">
        <x:v>22.92</x:v>
      </x:c>
      <x:c r="F19" t="str">
        <x:v>Agency / Consultant</x:v>
      </x:c>
      <x:c r="G19" s="11" t="n">
        <x:f>C19*E19</x:f>
        <x:v>2544.1200000000003</x:v>
      </x:c>
    </x:row>
    <x:row r="20">
      <x:c r="A20" t="str">
        <x:v>auto repair shop marketing plan</x:v>
      </x:c>
      <x:c r="B20" s="8" t="n">
        <x:v>0</x:v>
      </x:c>
      <x:c r="C20" s="8" t="n">
        <x:v>102</x:v>
      </x:c>
      <x:c r="D20" s="9" t="n">
        <x:v>0</x:v>
      </x:c>
      <x:c r="E20" s="10" t="n">
        <x:v>31.73</x:v>
      </x:c>
      <x:c r="F20" t="str">
        <x:v>Marketing Plan / Strategy</x:v>
      </x:c>
      <x:c r="G20" s="11" t="n">
        <x:f>C20*E20</x:f>
        <x:v>3236.46</x:v>
      </x:c>
    </x:row>
    <x:row r="21">
      <x:c r="A21" t="str">
        <x:v>auto repair internet marketing</x:v>
      </x:c>
      <x:c r="B21" s="8" t="n">
        <x:v>0</x:v>
      </x:c>
      <x:c r="C21" s="8" t="n">
        <x:v>99</x:v>
      </x:c>
      <x:c r="D21" s="9" t="n">
        <x:v>0</x:v>
      </x:c>
      <x:c r="E21" s="10" t="n">
        <x:v>38.86</x:v>
      </x:c>
      <x:c r="F21" t="str">
        <x:v>Digital Marketing</x:v>
      </x:c>
      <x:c r="G21" s="11" t="n">
        <x:f>C21*E21</x:f>
        <x:v>3847.14</x:v>
      </x:c>
    </x:row>
    <x:row r="22">
      <x:c r="A22" t="str">
        <x:v>marketing agency for auto repair shops</x:v>
      </x:c>
      <x:c r="B22" s="8" t="n">
        <x:v>0</x:v>
      </x:c>
      <x:c r="C22" s="8" t="n">
        <x:v>87</x:v>
      </x:c>
      <x:c r="D22" s="9" t="n">
        <x:v>0</x:v>
      </x:c>
      <x:c r="E22" s="10" t="n">
        <x:v>19.02</x:v>
      </x:c>
      <x:c r="F22" t="str">
        <x:v>Agency / Consultant</x:v>
      </x:c>
      <x:c r="G22" s="11" t="n">
        <x:f>C22*E22</x:f>
        <x:v>1654.74</x:v>
      </x:c>
    </x:row>
    <x:row r="23">
      <x:c r="A23" t="str">
        <x:v>turnkey agency</x:v>
      </x:c>
      <x:c r="B23" s="8" t="n">
        <x:v>0</x:v>
      </x:c>
      <x:c r="C23" s="8" t="n">
        <x:v>84</x:v>
      </x:c>
      <x:c r="D23" s="9" t="n">
        <x:v>0</x:v>
      </x:c>
      <x:c r="E23" s="10" t="n">
        <x:v>13.73</x:v>
      </x:c>
      <x:c r="F23" t="str">
        <x:v>Branded</x:v>
      </x:c>
      <x:c r="G23" s="11" t="n">
        <x:f>C23*E23</x:f>
        <x:v>1153.32</x:v>
      </x:c>
    </x:row>
    <x:row r="24">
      <x:c r="A24" t="str">
        <x:v>auto repair marketing company</x:v>
      </x:c>
      <x:c r="B24" s="8" t="n">
        <x:v>0</x:v>
      </x:c>
      <x:c r="C24" s="8" t="n">
        <x:v>78</x:v>
      </x:c>
      <x:c r="D24" s="9" t="n">
        <x:v>0</x:v>
      </x:c>
      <x:c r="E24" s="10" t="n">
        <x:v>21.47</x:v>
      </x:c>
      <x:c r="F24" t="str">
        <x:v>Agency / Consultant</x:v>
      </x:c>
      <x:c r="G24" s="11" t="n">
        <x:f>C24*E24</x:f>
        <x:v>1674.6599999999999</x:v>
      </x:c>
    </x:row>
    <x:row r="25">
      <x:c r="A25" t="str">
        <x:v>auto repair direct mail</x:v>
      </x:c>
      <x:c r="B25" s="8" t="n">
        <x:v>0</x:v>
      </x:c>
      <x:c r="C25" s="8" t="n">
        <x:v>78</x:v>
      </x:c>
      <x:c r="D25" s="9" t="n">
        <x:v>0</x:v>
      </x:c>
      <x:c r="E25" s="10" t="n">
        <x:v>29.87</x:v>
      </x:c>
      <x:c r="F25" t="str">
        <x:v>Direct Mail</x:v>
      </x:c>
      <x:c r="G25" s="11" t="n">
        <x:f>C25*E25</x:f>
        <x:v>2329.86</x:v>
      </x:c>
    </x:row>
    <x:row r="26">
      <x:c r="A26" t="str">
        <x:v>auto repair ppc agency</x:v>
      </x:c>
      <x:c r="B26" s="8" t="n">
        <x:v>0</x:v>
      </x:c>
      <x:c r="C26" s="8" t="n">
        <x:v>76</x:v>
      </x:c>
      <x:c r="D26" s="9" t="n">
        <x:v>0</x:v>
      </x:c>
      <x:c r="E26" s="10" t="n">
        <x:v>39.72</x:v>
      </x:c>
      <x:c r="F26" t="str">
        <x:v>Other</x:v>
      </x:c>
      <x:c r="G26" s="11" t="n">
        <x:f>C26*E26</x:f>
        <x:v>3018.72</x:v>
      </x:c>
    </x:row>
    <x:row r="27">
      <x:c r="A27" t="str">
        <x:v>auto shop marketing agency</x:v>
      </x:c>
      <x:c r="B27" s="8" t="n">
        <x:v>0</x:v>
      </x:c>
      <x:c r="C27" s="8" t="n">
        <x:v>74</x:v>
      </x:c>
      <x:c r="D27" s="9" t="n">
        <x:v>0</x:v>
      </x:c>
      <x:c r="E27" s="10" t="n">
        <x:v>23.27</x:v>
      </x:c>
      <x:c r="F27" t="str">
        <x:v>Agency / Consultant</x:v>
      </x:c>
      <x:c r="G27" s="11" t="n">
        <x:f>C27*E27</x:f>
        <x:v>1721.98</x:v>
      </x:c>
    </x:row>
    <x:row r="28">
      <x:c r="A28" t="str">
        <x:v>turnkey-marketing</x:v>
      </x:c>
      <x:c r="B28" s="8" t="n">
        <x:v>0</x:v>
      </x:c>
      <x:c r="C28" s="8" t="n">
        <x:v>62</x:v>
      </x:c>
      <x:c r="D28" s="9" t="n">
        <x:v>0</x:v>
      </x:c>
      <x:c r="E28" s="10" t="n">
        <x:v>6.87</x:v>
      </x:c>
      <x:c r="F28" t="str">
        <x:v>Branded</x:v>
      </x:c>
      <x:c r="G28" s="11" t="n">
        <x:f>C28*E28</x:f>
        <x:v>425.94</x:v>
      </x:c>
    </x:row>
    <x:row r="29">
      <x:c r="A29" t="str">
        <x:v>outsourced marketing director auto repair</x:v>
      </x:c>
      <x:c r="B29" s="8" t="n">
        <x:v>0</x:v>
      </x:c>
      <x:c r="C29" s="8" t="n">
        <x:v>62</x:v>
      </x:c>
      <x:c r="D29" s="9" t="n">
        <x:v>0</x:v>
      </x:c>
      <x:c r="E29" s="10" t="n">
        <x:v>7.29</x:v>
      </x:c>
      <x:c r="F29" t="str">
        <x:v>Outsourced Marketing Director</x:v>
      </x:c>
      <x:c r="G29" s="11" t="n">
        <x:f>C29*E29</x:f>
        <x:v>451.98</x:v>
      </x:c>
    </x:row>
    <x:row r="30">
      <x:c r="A30" t="str">
        <x:v>auto repair marketing director</x:v>
      </x:c>
      <x:c r="B30" s="8" t="n">
        <x:v>0</x:v>
      </x:c>
      <x:c r="C30" s="8" t="n">
        <x:v>62</x:v>
      </x:c>
      <x:c r="D30" s="9" t="n">
        <x:v>0</x:v>
      </x:c>
      <x:c r="E30" s="10" t="n">
        <x:v>15.63</x:v>
      </x:c>
      <x:c r="F30" t="str">
        <x:v>Outsourced Marketing Director</x:v>
      </x:c>
      <x:c r="G30" s="11" t="n">
        <x:f>C30*E30</x:f>
        <x:v>969.0600000000001</x:v>
      </x:c>
    </x:row>
    <x:row r="31">
      <x:c r="A31" t="str">
        <x:v>marketing plan for auto repair shop</x:v>
      </x:c>
      <x:c r="B31" s="8" t="n">
        <x:v>0</x:v>
      </x:c>
      <x:c r="C31" s="8" t="n">
        <x:v>61</x:v>
      </x:c>
      <x:c r="D31" s="9" t="n">
        <x:v>0</x:v>
      </x:c>
      <x:c r="E31" s="10" t="n">
        <x:v>30.62</x:v>
      </x:c>
      <x:c r="F31" t="str">
        <x:v>Marketing Plan / Strategy</x:v>
      </x:c>
      <x:c r="G31" s="11" t="n">
        <x:f>C31*E31</x:f>
        <x:v>1867.8200000000002</x:v>
      </x:c>
    </x:row>
    <x:row r="32">
      <x:c r="A32" t="str">
        <x:v>auto repair marketing consultant</x:v>
      </x:c>
      <x:c r="B32" s="8" t="n">
        <x:v>0</x:v>
      </x:c>
      <x:c r="C32" s="8" t="n">
        <x:v>60</x:v>
      </x:c>
      <x:c r="D32" s="9" t="n">
        <x:v>0</x:v>
      </x:c>
      <x:c r="E32" s="10" t="n">
        <x:v>24.1</x:v>
      </x:c>
      <x:c r="F32" t="str">
        <x:v>Agency / Consultant</x:v>
      </x:c>
      <x:c r="G32" s="11" t="n">
        <x:f>C32*E32</x:f>
        <x:v>1446</x:v>
      </x:c>
    </x:row>
    <x:row r="33">
      <x:c r="A33" t="str">
        <x:v>auto repair marketing services</x:v>
      </x:c>
      <x:c r="B33" s="8" t="n">
        <x:v>0</x:v>
      </x:c>
      <x:c r="C33" s="8" t="n">
        <x:v>60</x:v>
      </x:c>
      <x:c r="D33" s="9" t="n">
        <x:v>0</x:v>
      </x:c>
      <x:c r="E33" s="10" t="n">
        <x:v>24.58</x:v>
      </x:c>
      <x:c r="F33" t="str">
        <x:v>Marketing Services</x:v>
      </x:c>
      <x:c r="G33" s="11" t="n">
        <x:f>C33*E33</x:f>
        <x:v>1474.8</x:v>
      </x:c>
    </x:row>
    <x:row r="34">
      <x:c r="A34" t="str">
        <x:v>auto repair shop marketing services</x:v>
      </x:c>
      <x:c r="B34" s="8" t="n">
        <x:v>0</x:v>
      </x:c>
      <x:c r="C34" s="8" t="n">
        <x:v>60</x:v>
      </x:c>
      <x:c r="D34" s="9" t="n">
        <x:v>0</x:v>
      </x:c>
      <x:c r="E34" s="10" t="n">
        <x:v>28.8</x:v>
      </x:c>
      <x:c r="F34" t="str">
        <x:v>Marketing Services</x:v>
      </x:c>
      <x:c r="G34" s="11" t="n">
        <x:f>C34*E34</x:f>
        <x:v>1728</x:v>
      </x:c>
    </x:row>
    <x:row r="35">
      <x:c r="A35" t="str">
        <x:v>auto repair advertising company</x:v>
      </x:c>
      <x:c r="B35" s="8" t="n">
        <x:v>0</x:v>
      </x:c>
      <x:c r="C35" s="8" t="n">
        <x:v>58</x:v>
      </x:c>
      <x:c r="D35" s="9" t="n">
        <x:v>0</x:v>
      </x:c>
      <x:c r="E35" s="10" t="n">
        <x:v>16.5</x:v>
      </x:c>
      <x:c r="F35" t="str">
        <x:v>Core Marketing</x:v>
      </x:c>
      <x:c r="G35" s="11" t="n">
        <x:f>C35*E35</x:f>
        <x:v>957</x:v>
      </x:c>
    </x:row>
    <x:row r="36">
      <x:c r="A36" t="str">
        <x:v>auto shop marketing consultant</x:v>
      </x:c>
      <x:c r="B36" s="8" t="n">
        <x:v>0</x:v>
      </x:c>
      <x:c r="C36" s="8" t="n">
        <x:v>58</x:v>
      </x:c>
      <x:c r="D36" s="9" t="n">
        <x:v>0</x:v>
      </x:c>
      <x:c r="E36" s="10" t="n">
        <x:v>20.26</x:v>
      </x:c>
      <x:c r="F36" t="str">
        <x:v>Agency / Consultant</x:v>
      </x:c>
      <x:c r="G36" s="11" t="n">
        <x:f>C36*E36</x:f>
        <x:v>1175.0800000000002</x:v>
      </x:c>
    </x:row>
    <x:row r="37">
      <x:c r="A37" t="str">
        <x:v>auto repair shop marketing company</x:v>
      </x:c>
      <x:c r="B37" s="8" t="n">
        <x:v>0</x:v>
      </x:c>
      <x:c r="C37" s="8" t="n">
        <x:v>57</x:v>
      </x:c>
      <x:c r="D37" s="9" t="n">
        <x:v>0</x:v>
      </x:c>
      <x:c r="E37" s="10" t="n">
        <x:v>22.84</x:v>
      </x:c>
      <x:c r="F37" t="str">
        <x:v>Agency / Consultant</x:v>
      </x:c>
      <x:c r="G37" s="11" t="n">
        <x:f>C37*E37</x:f>
        <x:v>1301.8799999999999</x:v>
      </x:c>
    </x:row>
    <x:row r="38">
      <x:c r="A38" t="str">
        <x:v>digital marketing for auto repair shops</x:v>
      </x:c>
      <x:c r="B38" s="8" t="n">
        <x:v>0</x:v>
      </x:c>
      <x:c r="C38" s="8" t="n">
        <x:v>57</x:v>
      </x:c>
      <x:c r="D38" s="9" t="n">
        <x:v>0</x:v>
      </x:c>
      <x:c r="E38" s="10" t="n">
        <x:v>62.77</x:v>
      </x:c>
      <x:c r="F38" t="str">
        <x:v>Digital Marketing</x:v>
      </x:c>
      <x:c r="G38" s="11" t="n">
        <x:f>C38*E38</x:f>
        <x:v>3577.8900000000003</x:v>
      </x:c>
    </x:row>
    <x:row r="39">
      <x:c r="A39" t="str">
        <x:v>automotive service marketing</x:v>
      </x:c>
      <x:c r="B39" s="8" t="n">
        <x:v>0</x:v>
      </x:c>
      <x:c r="C39" s="8" t="n">
        <x:v>56</x:v>
      </x:c>
      <x:c r="D39" s="9" t="n">
        <x:v>0</x:v>
      </x:c>
      <x:c r="E39" s="10" t="n">
        <x:v>20.21</x:v>
      </x:c>
      <x:c r="F39" t="str">
        <x:v>Core Marketing</x:v>
      </x:c>
      <x:c r="G39" s="11" t="n">
        <x:f>C39*E39</x:f>
        <x:v>1131.76</x:v>
      </x:c>
    </x:row>
    <x:row r="40">
      <x:c r="A40" t="str">
        <x:v>outsourced marketing for auto repair shops</x:v>
      </x:c>
      <x:c r="B40" s="8" t="n">
        <x:v>0</x:v>
      </x:c>
      <x:c r="C40" s="8" t="n">
        <x:v>56</x:v>
      </x:c>
      <x:c r="D40" s="9" t="n">
        <x:v>0</x:v>
      </x:c>
      <x:c r="E40" s="10" t="n">
        <x:v>28.57</x:v>
      </x:c>
      <x:c r="F40" t="str">
        <x:v>Outsourced Marketing Director</x:v>
      </x:c>
      <x:c r="G40" s="11" t="n">
        <x:f>C40*E40</x:f>
        <x:v>1599.92</x:v>
      </x:c>
    </x:row>
    <x:row r="41">
      <x:c r="A41" t="str">
        <x:v>auto shop marketing plan</x:v>
      </x:c>
      <x:c r="B41" s="8" t="n">
        <x:v>0</x:v>
      </x:c>
      <x:c r="C41" s="8" t="n">
        <x:v>56</x:v>
      </x:c>
      <x:c r="D41" s="9" t="n">
        <x:v>0</x:v>
      </x:c>
      <x:c r="E41" s="10" t="n">
        <x:v>34.5</x:v>
      </x:c>
      <x:c r="F41" t="str">
        <x:v>Marketing Plan / Strategy</x:v>
      </x:c>
      <x:c r="G41" s="11" t="n">
        <x:f>C41*E41</x:f>
        <x:v>1932</x:v>
      </x:c>
    </x:row>
    <x:row r="42">
      <x:c r="A42" t="str">
        <x:v>auto repair shop direct mail</x:v>
      </x:c>
      <x:c r="B42" s="8" t="n">
        <x:v>0</x:v>
      </x:c>
      <x:c r="C42" s="8" t="n">
        <x:v>54</x:v>
      </x:c>
      <x:c r="D42" s="9" t="n">
        <x:v>0</x:v>
      </x:c>
      <x:c r="E42" s="10" t="n">
        <x:v>26.5</x:v>
      </x:c>
      <x:c r="F42" t="str">
        <x:v>Direct Mail</x:v>
      </x:c>
      <x:c r="G42" s="11" t="n">
        <x:f>C42*E42</x:f>
        <x:v>1431</x:v>
      </x:c>
    </x:row>
    <x:row r="43">
      <x:c r="A43" t="str">
        <x:v>auto repair business marketing</x:v>
      </x:c>
      <x:c r="B43" s="8" t="n">
        <x:v>0</x:v>
      </x:c>
      <x:c r="C43" s="8" t="n">
        <x:v>54</x:v>
      </x:c>
      <x:c r="D43" s="9" t="n">
        <x:v>0</x:v>
      </x:c>
      <x:c r="E43" s="10" t="n">
        <x:v>53.65</x:v>
      </x:c>
      <x:c r="F43" t="str">
        <x:v>Core Marketing</x:v>
      </x:c>
      <x:c r="G43" s="11" t="n">
        <x:f>C43*E43</x:f>
        <x:v>2897.1</x:v>
      </x:c>
    </x:row>
    <x:row r="44">
      <x:c r="A44" t="str">
        <x:v>done for you auto repair marketing</x:v>
      </x:c>
      <x:c r="B44" s="8" t="n">
        <x:v>0</x:v>
      </x:c>
      <x:c r="C44" s="8" t="n">
        <x:v>52</x:v>
      </x:c>
      <x:c r="D44" s="9" t="n">
        <x:v>0</x:v>
      </x:c>
      <x:c r="E44" s="10" t="n">
        <x:v>19.44</x:v>
      </x:c>
      <x:c r="F44" t="str">
        <x:v>Core Marketing</x:v>
      </x:c>
      <x:c r="G44" s="11" t="n">
        <x:f>C44*E44</x:f>
        <x:v>1010.8800000000001</x:v>
      </x:c>
    </x:row>
    <x:row r="45">
      <x:c r="A45" t="str">
        <x:v>auto repair marketing strategies</x:v>
      </x:c>
      <x:c r="B45" s="8" t="n">
        <x:v>0</x:v>
      </x:c>
      <x:c r="C45" s="8" t="n">
        <x:v>52</x:v>
      </x:c>
      <x:c r="D45" s="9" t="n">
        <x:v>0</x:v>
      </x:c>
      <x:c r="E45" s="10" t="n">
        <x:v>33.56</x:v>
      </x:c>
      <x:c r="F45" t="str">
        <x:v>Marketing Plan / Strategy</x:v>
      </x:c>
      <x:c r="G45" s="11" t="n">
        <x:f>C45*E45</x:f>
        <x:v>1745.1200000000001</x:v>
      </x:c>
    </x:row>
    <x:row r="46">
      <x:c r="A46" t="str">
        <x:v>marketing for auto repair shops</x:v>
      </x:c>
      <x:c r="B46" s="8" t="n">
        <x:v>0</x:v>
      </x:c>
      <x:c r="C46" s="8" t="n">
        <x:v>51</x:v>
      </x:c>
      <x:c r="D46" s="9" t="n">
        <x:v>0</x:v>
      </x:c>
      <x:c r="E46" s="10" t="n">
        <x:v>57</x:v>
      </x:c>
      <x:c r="F46" t="str">
        <x:v>Other</x:v>
      </x:c>
      <x:c r="G46" s="11" t="n">
        <x:f>C46*E46</x:f>
        <x:v>2907</x:v>
      </x:c>
    </x:row>
    <x:row r="47">
      <x:c r="A47" t="str">
        <x:v>automotive repair marketing</x:v>
      </x:c>
      <x:c r="B47" s="8" t="n">
        <x:v>0</x:v>
      </x:c>
      <x:c r="C47" s="8" t="n">
        <x:v>51</x:v>
      </x:c>
      <x:c r="D47" s="9" t="n">
        <x:v>0</x:v>
      </x:c>
      <x:c r="E47" s="10" t="n">
        <x:v>57.24</x:v>
      </x:c>
      <x:c r="F47" t="str">
        <x:v>Core Marketing</x:v>
      </x:c>
      <x:c r="G47" s="11" t="n">
        <x:f>C47*E47</x:f>
        <x:v>2919.2400000000002</x:v>
      </x:c>
    </x:row>
    <x:row r="48">
      <x:c r="A48" t="str">
        <x:v>car repair marketing agency</x:v>
      </x:c>
      <x:c r="B48" s="8" t="n">
        <x:v>0</x:v>
      </x:c>
      <x:c r="C48" s="8" t="n">
        <x:v>50</x:v>
      </x:c>
      <x:c r="D48" s="9" t="n">
        <x:v>0</x:v>
      </x:c>
      <x:c r="E48" s="10" t="n">
        <x:v>24.94</x:v>
      </x:c>
      <x:c r="F48" t="str">
        <x:v>Agency / Consultant</x:v>
      </x:c>
      <x:c r="G48" s="11" t="n">
        <x:f>C48*E48</x:f>
        <x:v>1247</x:v>
      </x:c>
    </x:row>
    <x:row r="49">
      <x:c r="A49" t="str">
        <x:v>automotive repair shop marketing agency</x:v>
      </x:c>
      <x:c r="B49" s="8" t="n">
        <x:v>0</x:v>
      </x:c>
      <x:c r="C49" s="8" t="n">
        <x:v>49</x:v>
      </x:c>
      <x:c r="D49" s="9" t="n">
        <x:v>0</x:v>
      </x:c>
      <x:c r="E49" s="10" t="n">
        <x:v>24.41</x:v>
      </x:c>
      <x:c r="F49" t="str">
        <x:v>Agency / Consultant</x:v>
      </x:c>
      <x:c r="G49" s="11" t="n">
        <x:f>C49*E49</x:f>
        <x:v>1196.09</x:v>
      </x:c>
    </x:row>
    <x:row r="50">
      <x:c r="A50" t="str">
        <x:v>social media for auto repair shops</x:v>
      </x:c>
      <x:c r="B50" s="8" t="n">
        <x:v>0</x:v>
      </x:c>
      <x:c r="C50" s="8" t="n">
        <x:v>48</x:v>
      </x:c>
      <x:c r="D50" s="9" t="n">
        <x:v>0</x:v>
      </x:c>
      <x:c r="E50" s="10" t="n">
        <x:v>41.56</x:v>
      </x:c>
      <x:c r="F50" t="str">
        <x:v>Social Media</x:v>
      </x:c>
      <x:c r="G50" s="11" t="n">
        <x:f>C50*E50</x:f>
        <x:v>1994.88</x:v>
      </x:c>
    </x:row>
    <x:row r="51">
      <x:c r="A51" t="str">
        <x:v>turnkey auto repair</x:v>
      </x:c>
      <x:c r="B51" s="8" t="n">
        <x:v>0</x:v>
      </x:c>
      <x:c r="C51" s="8" t="n">
        <x:v>45</x:v>
      </x:c>
      <x:c r="D51" s="9" t="n">
        <x:v>0</x:v>
      </x:c>
      <x:c r="E51" s="10" t="n">
        <x:v>5.91</x:v>
      </x:c>
      <x:c r="F51" t="str">
        <x:v>Branded</x:v>
      </x:c>
      <x:c r="G51" s="11" t="n">
        <x:f>C51*E51</x:f>
        <x:v>265.95</x:v>
      </x:c>
    </x:row>
    <x:row r="52">
      <x:c r="A52" t="str">
        <x:v>mechanic marketing agency</x:v>
      </x:c>
      <x:c r="B52" s="8" t="n">
        <x:v>0</x:v>
      </x:c>
      <x:c r="C52" s="8" t="n">
        <x:v>44</x:v>
      </x:c>
      <x:c r="D52" s="9" t="n">
        <x:v>0</x:v>
      </x:c>
      <x:c r="E52" s="10" t="n">
        <x:v>18.55</x:v>
      </x:c>
      <x:c r="F52" t="str">
        <x:v>Agency / Consultant</x:v>
      </x:c>
      <x:c r="G52" s="11" t="n">
        <x:f>C52*E52</x:f>
        <x:v>816.2</x:v>
      </x:c>
    </x:row>
    <x:row r="53">
      <x:c r="A53" t="str">
        <x:v>auto repair shop marketing</x:v>
      </x:c>
      <x:c r="B53" s="8" t="n">
        <x:v>0</x:v>
      </x:c>
      <x:c r="C53" s="8" t="n">
        <x:v>43</x:v>
      </x:c>
      <x:c r="D53" s="9" t="n">
        <x:v>0</x:v>
      </x:c>
      <x:c r="E53" s="10" t="n">
        <x:v>35</x:v>
      </x:c>
      <x:c r="F53" t="str">
        <x:v>Core Marketing</x:v>
      </x:c>
      <x:c r="G53" s="11" t="n">
        <x:f>C53*E53</x:f>
        <x:v>1505</x:v>
      </x:c>
    </x:row>
    <x:row r="54">
      <x:c r="A54" t="str">
        <x:v>auto repair social media marketing</x:v>
      </x:c>
      <x:c r="B54" s="8" t="n">
        <x:v>0</x:v>
      </x:c>
      <x:c r="C54" s="8" t="n">
        <x:v>43</x:v>
      </x:c>
      <x:c r="D54" s="9" t="n">
        <x:v>0</x:v>
      </x:c>
      <x:c r="E54" s="10" t="n">
        <x:v>41.14</x:v>
      </x:c>
      <x:c r="F54" t="str">
        <x:v>Social Media</x:v>
      </x:c>
      <x:c r="G54" s="11" t="n">
        <x:f>C54*E54</x:f>
        <x:v>1769.02</x:v>
      </x:c>
    </x:row>
    <x:row r="55">
      <x:c r="A55" t="str">
        <x:v>automotive marketing companies</x:v>
      </x:c>
      <x:c r="B55" s="8" t="n">
        <x:v>0</x:v>
      </x:c>
      <x:c r="C55" s="8" t="n">
        <x:v>42</x:v>
      </x:c>
      <x:c r="D55" s="9" t="n">
        <x:v>0</x:v>
      </x:c>
      <x:c r="E55" s="10" t="n">
        <x:v>4.95</x:v>
      </x:c>
      <x:c r="F55" t="str">
        <x:v>Comparison / Companies</x:v>
      </x:c>
      <x:c r="G55" s="11" t="n">
        <x:f>C55*E55</x:f>
        <x:v>207.9</x:v>
      </x:c>
    </x:row>
    <x:row r="56">
      <x:c r="A56" t="str">
        <x:v>automotive direct mail marketing</x:v>
      </x:c>
      <x:c r="B56" s="8" t="n">
        <x:v>0</x:v>
      </x:c>
      <x:c r="C56" s="8" t="n">
        <x:v>42</x:v>
      </x:c>
      <x:c r="D56" s="9" t="n">
        <x:v>0</x:v>
      </x:c>
      <x:c r="E56" s="10" t="n">
        <x:v>80.19</x:v>
      </x:c>
      <x:c r="F56" t="str">
        <x:v>Direct Mail</x:v>
      </x:c>
      <x:c r="G56" s="11" t="n">
        <x:f>C56*E56</x:f>
        <x:v>3367.98</x:v>
      </x:c>
    </x:row>
    <x:row r="57">
      <x:c r="A57" t="str">
        <x:v>turnkey seo</x:v>
      </x:c>
      <x:c r="B57" s="8" t="n">
        <x:v>0</x:v>
      </x:c>
      <x:c r="C57" s="8" t="n">
        <x:v>41</x:v>
      </x:c>
      <x:c r="D57" s="9" t="n">
        <x:v>0</x:v>
      </x:c>
      <x:c r="E57" s="10" t="n">
        <x:v>24.71</x:v>
      </x:c>
      <x:c r="F57" t="str">
        <x:v>Branded</x:v>
      </x:c>
      <x:c r="G57" s="11" t="n">
        <x:f>C57*E57</x:f>
        <x:v>1013.11</x:v>
      </x:c>
    </x:row>
    <x:row r="58">
      <x:c r="A58" t="str">
        <x:v>automotive marketing agency</x:v>
      </x:c>
      <x:c r="B58" s="8" t="n">
        <x:v>0</x:v>
      </x:c>
      <x:c r="C58" s="8" t="n">
        <x:v>39</x:v>
      </x:c>
      <x:c r="D58" s="9" t="n">
        <x:v>0</x:v>
      </x:c>
      <x:c r="E58" s="10" t="n">
        <x:v>6.72</x:v>
      </x:c>
      <x:c r="F58" t="str">
        <x:v>Agency / Consultant</x:v>
      </x:c>
      <x:c r="G58" s="11" t="n">
        <x:f>C58*E58</x:f>
        <x:v>262.08</x:v>
      </x:c>
    </x:row>
    <x:row r="59">
      <x:c r="A59" t="str">
        <x:v>turnkey auto</x:v>
      </x:c>
      <x:c r="B59" s="8" t="n">
        <x:v>0</x:v>
      </x:c>
      <x:c r="C59" s="8" t="n">
        <x:v>39</x:v>
      </x:c>
      <x:c r="D59" s="9" t="n">
        <x:v>0</x:v>
      </x:c>
      <x:c r="E59" s="10" t="n">
        <x:v>8.44</x:v>
      </x:c>
      <x:c r="F59" t="str">
        <x:v>Branded</x:v>
      </x:c>
      <x:c r="G59" s="11" t="n">
        <x:f>C59*E59</x:f>
        <x:v>329.15999999999997</x:v>
      </x:c>
    </x:row>
    <x:row r="60">
      <x:c r="A60" t="str">
        <x:v>atlanta auto repair marketing</x:v>
      </x:c>
      <x:c r="B60" s="8" t="n">
        <x:v>0</x:v>
      </x:c>
      <x:c r="C60" s="8" t="n">
        <x:v>39</x:v>
      </x:c>
      <x:c r="D60" s="9" t="n">
        <x:v>0</x:v>
      </x:c>
      <x:c r="E60" s="10" t="n">
        <x:v>41.9</x:v>
      </x:c>
      <x:c r="F60" t="str">
        <x:v>Core Marketing</x:v>
      </x:c>
      <x:c r="G60" s="11" t="n">
        <x:f>C60*E60</x:f>
        <x:v>1634.1</x:v>
      </x:c>
    </x:row>
    <x:row r="61">
      <x:c r="A61" t="str">
        <x:v>turn key marketing</x:v>
      </x:c>
      <x:c r="B61" s="8" t="n">
        <x:v>0</x:v>
      </x:c>
      <x:c r="C61" s="8" t="n">
        <x:v>38</x:v>
      </x:c>
      <x:c r="D61" s="9" t="n">
        <x:v>0</x:v>
      </x:c>
      <x:c r="E61" s="10" t="n">
        <x:v>2.92</x:v>
      </x:c>
      <x:c r="F61" t="str">
        <x:v>Other</x:v>
      </x:c>
      <x:c r="G61" s="11" t="n">
        <x:f>C61*E61</x:f>
        <x:v>110.96</x:v>
      </x:c>
    </x:row>
    <x:row r="62">
      <x:c r="A62" t="str">
        <x:v>turn key agency</x:v>
      </x:c>
      <x:c r="B62" s="8" t="n">
        <x:v>0</x:v>
      </x:c>
      <x:c r="C62" s="8" t="n">
        <x:v>36</x:v>
      </x:c>
      <x:c r="D62" s="9" t="n">
        <x:v>0</x:v>
      </x:c>
      <x:c r="E62" s="10" t="n">
        <x:v>10.75</x:v>
      </x:c>
      <x:c r="F62" t="str">
        <x:v>Other</x:v>
      </x:c>
      <x:c r="G62" s="11" t="n">
        <x:f>C62*E62</x:f>
        <x:v>387</x:v>
      </x:c>
    </x:row>
    <x:row r="63">
      <x:c r="A63" t="str">
        <x:v>auto body marketing agency</x:v>
      </x:c>
      <x:c r="B63" s="8" t="n">
        <x:v>0</x:v>
      </x:c>
      <x:c r="C63" s="8" t="n">
        <x:v>36</x:v>
      </x:c>
      <x:c r="D63" s="9" t="n">
        <x:v>0</x:v>
      </x:c>
      <x:c r="E63" s="10" t="n">
        <x:v>17.14</x:v>
      </x:c>
      <x:c r="F63" t="str">
        <x:v>Agency / Consultant</x:v>
      </x:c>
      <x:c r="G63" s="11" t="n">
        <x:f>C63*E63</x:f>
        <x:v>617.04</x:v>
      </x:c>
    </x:row>
    <x:row r="64">
      <x:c r="A64" t="str">
        <x:v>direct mail for auto repair shops</x:v>
      </x:c>
      <x:c r="B64" s="8" t="n">
        <x:v>0</x:v>
      </x:c>
      <x:c r="C64" s="8" t="n">
        <x:v>36</x:v>
      </x:c>
      <x:c r="D64" s="9" t="n">
        <x:v>0</x:v>
      </x:c>
      <x:c r="E64" s="10" t="n">
        <x:v>25.03</x:v>
      </x:c>
      <x:c r="F64" t="str">
        <x:v>Direct Mail</x:v>
      </x:c>
      <x:c r="G64" s="11" t="n">
        <x:f>C64*E64</x:f>
        <x:v>901.08</x:v>
      </x:c>
    </x:row>
    <x:row r="65">
      <x:c r="A65" t="str">
        <x:v>auto repair marketing strategy</x:v>
      </x:c>
      <x:c r="B65" s="8" t="n">
        <x:v>0</x:v>
      </x:c>
      <x:c r="C65" s="8" t="n">
        <x:v>36</x:v>
      </x:c>
      <x:c r="D65" s="9" t="n">
        <x:v>0</x:v>
      </x:c>
      <x:c r="E65" s="10" t="n">
        <x:v>36.47</x:v>
      </x:c>
      <x:c r="F65" t="str">
        <x:v>Marketing Plan / Strategy</x:v>
      </x:c>
      <x:c r="G65" s="11" t="n">
        <x:f>C65*E65</x:f>
        <x:v>1312.92</x:v>
      </x:c>
    </x:row>
    <x:row r="66">
      <x:c r="A66" t="str">
        <x:v>customer avatar auto repair</x:v>
      </x:c>
      <x:c r="B66" s="8" t="n">
        <x:v>0</x:v>
      </x:c>
      <x:c r="C66" s="8" t="n">
        <x:v>35</x:v>
      </x:c>
      <x:c r="D66" s="9" t="n">
        <x:v>0</x:v>
      </x:c>
      <x:c r="E66" s="10" t="n">
        <x:v>5</x:v>
      </x:c>
      <x:c r="F66" t="str">
        <x:v>Customer Avatar</x:v>
      </x:c>
      <x:c r="G66" s="11" t="n">
        <x:f>C66*E66</x:f>
        <x:v>175</x:v>
      </x:c>
    </x:row>
    <x:row r="67">
      <x:c r="A67" t="str">
        <x:v>defining customer avatars for your auto repair shop</x:v>
      </x:c>
      <x:c r="B67" s="8" t="n">
        <x:v>0</x:v>
      </x:c>
      <x:c r="C67" s="8" t="n">
        <x:v>34</x:v>
      </x:c>
      <x:c r="D67" s="9" t="n">
        <x:v>0</x:v>
      </x:c>
      <x:c r="E67" s="10" t="n">
        <x:v>6.71</x:v>
      </x:c>
      <x:c r="F67" t="str">
        <x:v>Customer Avatar</x:v>
      </x:c>
      <x:c r="G67" s="11" t="n">
        <x:f>C67*E67</x:f>
        <x:v>228.14</x:v>
      </x:c>
    </x:row>
    <x:row r="68">
      <x:c r="A68" t="str">
        <x:v>auto marketing agency</x:v>
      </x:c>
      <x:c r="B68" s="8" t="n">
        <x:v>0</x:v>
      </x:c>
      <x:c r="C68" s="8" t="n">
        <x:v>34</x:v>
      </x:c>
      <x:c r="D68" s="9" t="n">
        <x:v>0</x:v>
      </x:c>
      <x:c r="E68" s="10" t="n">
        <x:v>7.24</x:v>
      </x:c>
      <x:c r="F68" t="str">
        <x:v>Agency / Consultant</x:v>
      </x:c>
      <x:c r="G68" s="11" t="n">
        <x:f>C68*E68</x:f>
        <x:v>246.16</x:v>
      </x:c>
    </x:row>
    <x:row r="69">
      <x:c r="A69" t="str">
        <x:v>auto repair direct mail marketing</x:v>
      </x:c>
      <x:c r="B69" s="8" t="n">
        <x:v>0</x:v>
      </x:c>
      <x:c r="C69" s="8" t="n">
        <x:v>34</x:v>
      </x:c>
      <x:c r="D69" s="9" t="n">
        <x:v>0</x:v>
      </x:c>
      <x:c r="E69" s="10" t="n">
        <x:v>40.68</x:v>
      </x:c>
      <x:c r="F69" t="str">
        <x:v>Direct Mail</x:v>
      </x:c>
      <x:c r="G69" s="11" t="n">
        <x:f>C69*E69</x:f>
        <x:v>1383.12</x:v>
      </x:c>
    </x:row>
    <x:row r="70">
      <x:c r="A70" t="str">
        <x:v>auto body shop marketing agency</x:v>
      </x:c>
      <x:c r="B70" s="8" t="n">
        <x:v>0</x:v>
      </x:c>
      <x:c r="C70" s="8" t="n">
        <x:v>33</x:v>
      </x:c>
      <x:c r="D70" s="9" t="n">
        <x:v>0</x:v>
      </x:c>
      <x:c r="E70" s="10" t="n">
        <x:v>29.12</x:v>
      </x:c>
      <x:c r="F70" t="str">
        <x:v>Agency / Consultant</x:v>
      </x:c>
      <x:c r="G70" s="11" t="n">
        <x:f>C70*E70</x:f>
        <x:v>960.96</x:v>
      </x:c>
    </x:row>
    <x:row r="71">
      <x:c r="A71" t="str">
        <x:v>best auto repair marketing agency</x:v>
      </x:c>
      <x:c r="B71" s="8" t="n">
        <x:v>0</x:v>
      </x:c>
      <x:c r="C71" s="8" t="n">
        <x:v>33</x:v>
      </x:c>
      <x:c r="D71" s="9" t="n">
        <x:v>0</x:v>
      </x:c>
      <x:c r="E71" s="10" t="n">
        <x:v>40.18</x:v>
      </x:c>
      <x:c r="F71" t="str">
        <x:v>Comparison / Companies</x:v>
      </x:c>
      <x:c r="G71" s="11" t="n">
        <x:f>C71*E71</x:f>
        <x:v>1325.94</x:v>
      </x:c>
    </x:row>
    <x:row r="72">
      <x:c r="A72" t="str">
        <x:v>tire and auto marketing agency</x:v>
      </x:c>
      <x:c r="B72" s="8" t="n">
        <x:v>0</x:v>
      </x:c>
      <x:c r="C72" s="8" t="n">
        <x:v>32</x:v>
      </x:c>
      <x:c r="D72" s="9" t="n">
        <x:v>0</x:v>
      </x:c>
      <x:c r="E72" s="10" t="n">
        <x:v>10.09</x:v>
      </x:c>
      <x:c r="F72" t="str">
        <x:v>Agency / Consultant</x:v>
      </x:c>
      <x:c r="G72" s="11" t="n">
        <x:f>C72*E72</x:f>
        <x:v>322.88</x:v>
      </x:c>
    </x:row>
    <x:row r="73">
      <x:c r="A73" t="str">
        <x:v>social media marketing for auto repair shops</x:v>
      </x:c>
      <x:c r="B73" s="8" t="n">
        <x:v>0</x:v>
      </x:c>
      <x:c r="C73" s="8" t="n">
        <x:v>32</x:v>
      </x:c>
      <x:c r="D73" s="9" t="n">
        <x:v>0</x:v>
      </x:c>
      <x:c r="E73" s="10" t="n">
        <x:v>38.84</x:v>
      </x:c>
      <x:c r="F73" t="str">
        <x:v>Social Media</x:v>
      </x:c>
      <x:c r="G73" s="11" t="n">
        <x:f>C73*E73</x:f>
        <x:v>1242.88</x:v>
      </x:c>
    </x:row>
    <x:row r="74">
      <x:c r="A74" t="str">
        <x:v>auto repair shop digital marketing</x:v>
      </x:c>
      <x:c r="B74" s="8" t="n">
        <x:v>0</x:v>
      </x:c>
      <x:c r="C74" s="8" t="n">
        <x:v>32</x:v>
      </x:c>
      <x:c r="D74" s="9" t="n">
        <x:v>0</x:v>
      </x:c>
      <x:c r="E74" s="10" t="n">
        <x:v>53.41</x:v>
      </x:c>
      <x:c r="F74" t="str">
        <x:v>Digital Marketing</x:v>
      </x:c>
      <x:c r="G74" s="11" t="n">
        <x:f>C74*E74</x:f>
        <x:v>1709.12</x:v>
      </x:c>
    </x:row>
    <x:row r="75">
      <x:c r="A75" t="str">
        <x:v>turnkey automotive</x:v>
      </x:c>
      <x:c r="B75" s="8" t="n">
        <x:v>0</x:v>
      </x:c>
      <x:c r="C75" s="8" t="n">
        <x:v>30</x:v>
      </x:c>
      <x:c r="D75" s="9" t="n">
        <x:v>0</x:v>
      </x:c>
      <x:c r="E75" s="10" t="n">
        <x:v>12.57</x:v>
      </x:c>
      <x:c r="F75" t="str">
        <x:v>Branded</x:v>
      </x:c>
      <x:c r="G75" s="11" t="n">
        <x:f>C75*E75</x:f>
        <x:v>377.1</x:v>
      </x:c>
    </x:row>
    <x:row r="76">
      <x:c r="A76" t="str">
        <x:v>auto marketing solutions</x:v>
      </x:c>
      <x:c r="B76" s="8" t="n">
        <x:v>0</x:v>
      </x:c>
      <x:c r="C76" s="8" t="n">
        <x:v>30</x:v>
      </x:c>
      <x:c r="D76" s="9" t="n">
        <x:v>0</x:v>
      </x:c>
      <x:c r="E76" s="10" t="n">
        <x:v>40.67</x:v>
      </x:c>
      <x:c r="F76" t="str">
        <x:v>Other</x:v>
      </x:c>
      <x:c r="G76" s="11" t="n">
        <x:f>C76*E76</x:f>
        <x:v>1220.1000000000001</x:v>
      </x:c>
    </x:row>
    <x:row r="77">
      <x:c r="A77" t="str">
        <x:v>auto repair postcard marketing</x:v>
      </x:c>
      <x:c r="B77" s="8" t="n">
        <x:v>0</x:v>
      </x:c>
      <x:c r="C77" s="8" t="n">
        <x:v>30</x:v>
      </x:c>
      <x:c r="D77" s="9" t="n">
        <x:v>0</x:v>
      </x:c>
      <x:c r="E77" s="10" t="n">
        <x:v>41.23</x:v>
      </x:c>
      <x:c r="F77" t="str">
        <x:v>Direct Mail</x:v>
      </x:c>
      <x:c r="G77" s="11" t="n">
        <x:f>C77*E77</x:f>
        <x:v>1236.8999999999999</x:v>
      </x:c>
    </x:row>
    <x:row r="78">
      <x:c r="A78" t="str">
        <x:v>auto repair digital marketing agency</x:v>
      </x:c>
      <x:c r="B78" s="8" t="n">
        <x:v>0</x:v>
      </x:c>
      <x:c r="C78" s="8" t="n">
        <x:v>30</x:v>
      </x:c>
      <x:c r="D78" s="9" t="n">
        <x:v>0</x:v>
      </x:c>
      <x:c r="E78" s="10" t="n">
        <x:v>45.23</x:v>
      </x:c>
      <x:c r="F78" t="str">
        <x:v>Agency / Consultant</x:v>
      </x:c>
      <x:c r="G78" s="11" t="n">
        <x:f>C78*E78</x:f>
        <x:v>1356.8999999999999</x:v>
      </x:c>
    </x:row>
    <x:row r="79">
      <x:c r="A79" t="str">
        <x:v>repair shop marketing tools</x:v>
      </x:c>
      <x:c r="B79" s="8" t="n">
        <x:v>0</x:v>
      </x:c>
      <x:c r="C79" s="8" t="n">
        <x:v>30</x:v>
      </x:c>
      <x:c r="D79" s="9" t="n">
        <x:v>0</x:v>
      </x:c>
      <x:c r="E79" s="10" t="n">
        <x:v>58.17</x:v>
      </x:c>
      <x:c r="F79" t="str">
        <x:v>Other</x:v>
      </x:c>
      <x:c r="G79" s="11" t="n">
        <x:f>C79*E79</x:f>
        <x:v>1745.1000000000001</x:v>
      </x:c>
    </x:row>
    <x:row r="80">
      <x:c r="A80" t="str">
        <x:v>auto repair ppc management</x:v>
      </x:c>
      <x:c r="B80" s="8" t="n">
        <x:v>0</x:v>
      </x:c>
      <x:c r="C80" s="8" t="n">
        <x:v>30</x:v>
      </x:c>
      <x:c r="D80" s="9" t="n">
        <x:v>0</x:v>
      </x:c>
      <x:c r="E80" s="10" t="n">
        <x:v>85.3</x:v>
      </x:c>
      <x:c r="F80" t="str">
        <x:v>Other</x:v>
      </x:c>
      <x:c r="G80" s="11" t="n">
        <x:f>C80*E80</x:f>
        <x:v>2559</x:v>
      </x:c>
    </x:row>
    <x:row r="81">
      <x:c r="A81" t="str">
        <x:v>auto repair shop postcard marketing</x:v>
      </x:c>
      <x:c r="B81" s="8" t="n">
        <x:v>0</x:v>
      </x:c>
      <x:c r="C81" s="8" t="n">
        <x:v>29</x:v>
      </x:c>
      <x:c r="D81" s="9" t="n">
        <x:v>0</x:v>
      </x:c>
      <x:c r="E81" s="10" t="n">
        <x:v>32.69</x:v>
      </x:c>
      <x:c r="F81" t="str">
        <x:v>Direct Mail</x:v>
      </x:c>
      <x:c r="G81" s="11" t="n">
        <x:f>C81*E81</x:f>
        <x:v>948.01</x:v>
      </x:c>
    </x:row>
    <x:row r="82">
      <x:c r="A82" t="str">
        <x:v>automotive copywriting services</x:v>
      </x:c>
      <x:c r="B82" s="8" t="n">
        <x:v>0</x:v>
      </x:c>
      <x:c r="C82" s="8" t="n">
        <x:v>29</x:v>
      </x:c>
      <x:c r="D82" s="9" t="n">
        <x:v>0</x:v>
      </x:c>
      <x:c r="E82" s="10" t="n">
        <x:v>36.9</x:v>
      </x:c>
      <x:c r="F82" t="str">
        <x:v>Other</x:v>
      </x:c>
      <x:c r="G82" s="11" t="n">
        <x:f>C82*E82</x:f>
        <x:v>1070.1</x:v>
      </x:c>
    </x:row>
    <x:row r="83">
      <x:c r="A83" t="str">
        <x:v>turnkey marketing strategy, branding and creative services agency.</x:v>
      </x:c>
      <x:c r="B83" s="8" t="n">
        <x:v>0</x:v>
      </x:c>
      <x:c r="C83" s="8" t="n">
        <x:v>28</x:v>
      </x:c>
      <x:c r="D83" s="9" t="n">
        <x:v>0</x:v>
      </x:c>
      <x:c r="E83" s="10" t="n">
        <x:v>4.61</x:v>
      </x:c>
      <x:c r="F83" t="str">
        <x:v>Branded</x:v>
      </x:c>
      <x:c r="G83" s="11" t="n">
        <x:f>C83*E83</x:f>
        <x:v>129.08</x:v>
      </x:c>
    </x:row>
    <x:row r="84">
      <x:c r="A84" t="str">
        <x:v>auto shop social media marketing</x:v>
      </x:c>
      <x:c r="B84" s="8" t="n">
        <x:v>0</x:v>
      </x:c>
      <x:c r="C84" s="8" t="n">
        <x:v>28</x:v>
      </x:c>
      <x:c r="D84" s="9" t="n">
        <x:v>0</x:v>
      </x:c>
      <x:c r="E84" s="10" t="n">
        <x:v>41.82</x:v>
      </x:c>
      <x:c r="F84" t="str">
        <x:v>Social Media</x:v>
      </x:c>
      <x:c r="G84" s="11" t="n">
        <x:f>C84*E84</x:f>
        <x:v>1170.96</x:v>
      </x:c>
    </x:row>
    <x:row r="85">
      <x:c r="A85" t="str">
        <x:v>marketing agency</x:v>
      </x:c>
      <x:c r="B85" s="8" t="n">
        <x:v>0</x:v>
      </x:c>
      <x:c r="C85" s="8" t="n">
        <x:v>27</x:v>
      </x:c>
      <x:c r="D85" s="9" t="n">
        <x:v>0</x:v>
      </x:c>
      <x:c r="E85" s="10" t="n">
        <x:v>2.85</x:v>
      </x:c>
      <x:c r="F85" t="str">
        <x:v>Agency / Consultant</x:v>
      </x:c>
      <x:c r="G85" s="11" t="n">
        <x:f>C85*E85</x:f>
        <x:v>76.95</x:v>
      </x:c>
    </x:row>
    <x:row r="86">
      <x:c r="A86" t="str">
        <x:v>marketing audit for auto repair shop</x:v>
      </x:c>
      <x:c r="B86" s="8" t="n">
        <x:v>0</x:v>
      </x:c>
      <x:c r="C86" s="8" t="n">
        <x:v>27</x:v>
      </x:c>
      <x:c r="D86" s="9" t="n">
        <x:v>0</x:v>
      </x:c>
      <x:c r="E86" s="10" t="n">
        <x:v>26.22</x:v>
      </x:c>
      <x:c r="F86" t="str">
        <x:v>Marketing Audit</x:v>
      </x:c>
      <x:c r="G86" s="11" t="n">
        <x:f>C86*E86</x:f>
        <x:v>707.9399999999999</x:v>
      </x:c>
    </x:row>
    <x:row r="87">
      <x:c r="A87" t="str">
        <x:v>dealership marketing services</x:v>
      </x:c>
      <x:c r="B87" s="8" t="n">
        <x:v>0</x:v>
      </x:c>
      <x:c r="C87" s="8" t="n">
        <x:v>26</x:v>
      </x:c>
      <x:c r="D87" s="9" t="n">
        <x:v>0</x:v>
      </x:c>
      <x:c r="E87" s="10" t="n">
        <x:v>1</x:v>
      </x:c>
      <x:c r="F87" t="str">
        <x:v>Marketing Services</x:v>
      </x:c>
      <x:c r="G87" s="11" t="n">
        <x:f>C87*E87</x:f>
        <x:v>26</x:v>
      </x:c>
    </x:row>
    <x:row r="88">
      <x:c r="A88" t="str">
        <x:v>marketing consultant</x:v>
      </x:c>
      <x:c r="B88" s="8" t="n">
        <x:v>0</x:v>
      </x:c>
      <x:c r="C88" s="8" t="n">
        <x:v>26</x:v>
      </x:c>
      <x:c r="D88" s="9" t="n">
        <x:v>0</x:v>
      </x:c>
      <x:c r="E88" s="10" t="n">
        <x:v>1</x:v>
      </x:c>
      <x:c r="F88" t="str">
        <x:v>Agency / Consultant</x:v>
      </x:c>
      <x:c r="G88" s="11" t="n">
        <x:f>C88*E88</x:f>
        <x:v>26</x:v>
      </x:c>
    </x:row>
    <x:row r="89">
      <x:c r="A89" t="str">
        <x:v>auto repair email marketing</x:v>
      </x:c>
      <x:c r="B89" s="8" t="n">
        <x:v>0</x:v>
      </x:c>
      <x:c r="C89" s="8" t="n">
        <x:v>26</x:v>
      </x:c>
      <x:c r="D89" s="9" t="n">
        <x:v>0</x:v>
      </x:c>
      <x:c r="E89" s="10" t="n">
        <x:v>75.96</x:v>
      </x:c>
      <x:c r="F89" t="str">
        <x:v>Retention / Email</x:v>
      </x:c>
      <x:c r="G89" s="11" t="n">
        <x:f>C89*E89</x:f>
        <x:v>1974.9599999999998</x:v>
      </x:c>
    </x:row>
    <x:row r="90">
      <x:c r="A90" t="str">
        <x:v>auto repair ppc company</x:v>
      </x:c>
      <x:c r="B90" s="8" t="n">
        <x:v>0</x:v>
      </x:c>
      <x:c r="C90" s="8" t="n">
        <x:v>26</x:v>
      </x:c>
      <x:c r="D90" s="9" t="n">
        <x:v>0</x:v>
      </x:c>
      <x:c r="E90" s="10" t="n">
        <x:v>79.73</x:v>
      </x:c>
      <x:c r="F90" t="str">
        <x:v>Other</x:v>
      </x:c>
      <x:c r="G90" s="11" t="n">
        <x:f>C90*E90</x:f>
        <x:v>2072.98</x:v>
      </x:c>
    </x:row>
    <x:row r="91">
      <x:c r="A91" t="str">
        <x:v>turnkey marketing company overview</x:v>
      </x:c>
      <x:c r="B91" s="8" t="n">
        <x:v>0</x:v>
      </x:c>
      <x:c r="C91" s="8" t="n">
        <x:v>25</x:v>
      </x:c>
      <x:c r="D91" s="9" t="n">
        <x:v>0</x:v>
      </x:c>
      <x:c r="E91" s="10" t="n">
        <x:v>5.28</x:v>
      </x:c>
      <x:c r="F91" t="str">
        <x:v>Branded</x:v>
      </x:c>
      <x:c r="G91" s="11" t="n">
        <x:f>C91*E91</x:f>
        <x:v>132</x:v>
      </x:c>
    </x:row>
    <x:row r="92">
      <x:c r="A92" t="str">
        <x:v>auto repair marketing audit</x:v>
      </x:c>
      <x:c r="B92" s="8" t="n">
        <x:v>0</x:v>
      </x:c>
      <x:c r="C92" s="8" t="n">
        <x:v>25</x:v>
      </x:c>
      <x:c r="D92" s="9" t="n">
        <x:v>0</x:v>
      </x:c>
      <x:c r="E92" s="10" t="n">
        <x:v>34.48</x:v>
      </x:c>
      <x:c r="F92" t="str">
        <x:v>Marketing Audit</x:v>
      </x:c>
      <x:c r="G92" s="11" t="n">
        <x:f>C92*E92</x:f>
        <x:v>861.9999999999999</x:v>
      </x:c>
    </x:row>
    <x:row r="93">
      <x:c r="A93" t="str">
        <x:v>automotive direct mail services</x:v>
      </x:c>
      <x:c r="B93" s="8" t="n">
        <x:v>0</x:v>
      </x:c>
      <x:c r="C93" s="8" t="n">
        <x:v>25</x:v>
      </x:c>
      <x:c r="D93" s="9" t="n">
        <x:v>0</x:v>
      </x:c>
      <x:c r="E93" s="10" t="n">
        <x:v>78.68</x:v>
      </x:c>
      <x:c r="F93" t="str">
        <x:v>Direct Mail</x:v>
      </x:c>
      <x:c r="G93" s="11" t="n">
        <x:f>C93*E93</x:f>
        <x:v>1967.0000000000002</x:v>
      </x:c>
    </x:row>
    <x:row r="94">
      <x:c r="A94" t="str">
        <x:v>turnkey marketing for saas</x:v>
      </x:c>
      <x:c r="B94" s="8" t="n">
        <x:v>0</x:v>
      </x:c>
      <x:c r="C94" s="8" t="n">
        <x:v>23</x:v>
      </x:c>
      <x:c r="D94" s="9" t="n">
        <x:v>0</x:v>
      </x:c>
      <x:c r="E94" s="10" t="n">
        <x:v>26.52</x:v>
      </x:c>
      <x:c r="F94" t="str">
        <x:v>Branded</x:v>
      </x:c>
      <x:c r="G94" s="11" t="n">
        <x:f>C94*E94</x:f>
        <x:v>609.96</x:v>
      </x:c>
    </x:row>
    <x:row r="95">
      <x:c r="A95" t="str">
        <x:v>auto repair social marketing</x:v>
      </x:c>
      <x:c r="B95" s="8" t="n">
        <x:v>0</x:v>
      </x:c>
      <x:c r="C95" s="8" t="n">
        <x:v>23</x:v>
      </x:c>
      <x:c r="D95" s="9" t="n">
        <x:v>0</x:v>
      </x:c>
      <x:c r="E95" s="10" t="n">
        <x:v>26.57</x:v>
      </x:c>
      <x:c r="F95" t="str">
        <x:v>Core Marketing</x:v>
      </x:c>
      <x:c r="G95" s="11" t="n">
        <x:f>C95*E95</x:f>
        <x:v>611.11</x:v>
      </x:c>
    </x:row>
    <x:row r="96">
      <x:c r="A96" t="str">
        <x:v>auto repair digital marketing company</x:v>
      </x:c>
      <x:c r="B96" s="8" t="n">
        <x:v>0</x:v>
      </x:c>
      <x:c r="C96" s="8" t="n">
        <x:v>23</x:v>
      </x:c>
      <x:c r="D96" s="9" t="n">
        <x:v>0</x:v>
      </x:c>
      <x:c r="E96" s="10" t="n">
        <x:v>38.57</x:v>
      </x:c>
      <x:c r="F96" t="str">
        <x:v>Agency / Consultant</x:v>
      </x:c>
      <x:c r="G96" s="11" t="n">
        <x:f>C96*E96</x:f>
        <x:v>887.11</x:v>
      </x:c>
    </x:row>
    <x:row r="97">
      <x:c r="A97" t="str">
        <x:v>marketing reporting overland park</x:v>
      </x:c>
      <x:c r="B97" s="8" t="n">
        <x:v>0</x:v>
      </x:c>
      <x:c r="C97" s="8" t="n">
        <x:v>23</x:v>
      </x:c>
      <x:c r="D97" s="9" t="n">
        <x:v>0</x:v>
      </x:c>
      <x:c r="E97" s="10" t="n">
        <x:v>39.48</x:v>
      </x:c>
      <x:c r="F97" t="str">
        <x:v>Other</x:v>
      </x:c>
      <x:c r="G97" s="11" t="n">
        <x:f>C97*E97</x:f>
        <x:v>908.04</x:v>
      </x:c>
    </x:row>
    <x:row r="98">
      <x:c r="A98" t="str">
        <x:v>automotive franchises opportunity in kansas city</x:v>
      </x:c>
      <x:c r="B98" s="8" t="n">
        <x:v>0</x:v>
      </x:c>
      <x:c r="C98" s="8" t="n">
        <x:v>23</x:v>
      </x:c>
      <x:c r="D98" s="9" t="n">
        <x:v>0</x:v>
      </x:c>
      <x:c r="E98" s="10" t="n">
        <x:v>59.43</x:v>
      </x:c>
      <x:c r="F98" t="str">
        <x:v>Other</x:v>
      </x:c>
      <x:c r="G98" s="11" t="n">
        <x:f>C98*E98</x:f>
        <x:v>1366.89</x:v>
      </x:c>
    </x:row>
    <x:row r="99">
      <x:c r="A99" t="str">
        <x:v>auto repair shop lead generation</x:v>
      </x:c>
      <x:c r="B99" s="8" t="n">
        <x:v>0</x:v>
      </x:c>
      <x:c r="C99" s="8" t="n">
        <x:v>23</x:v>
      </x:c>
      <x:c r="D99" s="9" t="n">
        <x:v>0</x:v>
      </x:c>
      <x:c r="E99" s="10" t="n">
        <x:v>68.91</x:v>
      </x:c>
      <x:c r="F99" t="str">
        <x:v>Lead Generation / Growth</x:v>
      </x:c>
      <x:c r="G99" s="11" t="n">
        <x:f>C99*E99</x:f>
        <x:v>1584.9299999999998</x:v>
      </x:c>
    </x:row>
    <x:row r="100">
      <x:c r="A100" t="str">
        <x:v>auto painting digital marketing</x:v>
      </x:c>
      <x:c r="B100" s="8" t="n">
        <x:v>0</x:v>
      </x:c>
      <x:c r="C100" s="8" t="n">
        <x:v>22</x:v>
      </x:c>
      <x:c r="D100" s="9" t="n">
        <x:v>0</x:v>
      </x:c>
      <x:c r="E100" s="10" t="n">
        <x:v>53.32</x:v>
      </x:c>
      <x:c r="F100" t="str">
        <x:v>Digital Marketing</x:v>
      </x:c>
      <x:c r="G100" s="11" t="n">
        <x:f>C100*E100</x:f>
        <x:v>1173.04</x:v>
      </x:c>
    </x:row>
    <x:row r="101">
      <x:c r="A101" t="str">
        <x:v>automotive direct mail</x:v>
      </x:c>
      <x:c r="B101" s="8" t="n">
        <x:v>0</x:v>
      </x:c>
      <x:c r="C101" s="8" t="n">
        <x:v>22</x:v>
      </x:c>
      <x:c r="D101" s="9" t="n">
        <x:v>0</x:v>
      </x:c>
      <x:c r="E101" s="10" t="n">
        <x:v>82.27</x:v>
      </x:c>
      <x:c r="F101" t="str">
        <x:v>Direct Mail</x:v>
      </x:c>
      <x:c r="G101" s="11" t="n">
        <x:f>C101*E101</x:f>
        <x:v>1809.9399999999998</x:v>
      </x:c>
    </x:row>
    <x:row r="102">
      <x:c r="A102" t="str">
        <x:v>marketing director for auto repair shops</x:v>
      </x:c>
      <x:c r="B102" s="8" t="n">
        <x:v>0</x:v>
      </x:c>
      <x:c r="C102" s="8" t="n">
        <x:v>21</x:v>
      </x:c>
      <x:c r="D102" s="9" t="n">
        <x:v>0</x:v>
      </x:c>
      <x:c r="E102" s="10" t="n">
        <x:v>30.81</x:v>
      </x:c>
      <x:c r="F102" t="str">
        <x:v>Outsourced Marketing Director</x:v>
      </x:c>
      <x:c r="G102" s="11" t="n">
        <x:f>C102*E102</x:f>
        <x:v>647.01</x:v>
      </x:c>
    </x:row>
    <x:row r="103">
      <x:c r="A103" t="str">
        <x:v>auto repair facebook marketing</x:v>
      </x:c>
      <x:c r="B103" s="8" t="n">
        <x:v>0</x:v>
      </x:c>
      <x:c r="C103" s="8" t="n">
        <x:v>21</x:v>
      </x:c>
      <x:c r="D103" s="9" t="n">
        <x:v>0</x:v>
      </x:c>
      <x:c r="E103" s="10" t="n">
        <x:v>55.43</x:v>
      </x:c>
      <x:c r="F103" t="str">
        <x:v>Social Media</x:v>
      </x:c>
      <x:c r="G103" s="11" t="n">
        <x:f>C103*E103</x:f>
        <x:v>1164.03</x:v>
      </x:c>
    </x:row>
    <x:row r="104">
      <x:c r="A104" t="str">
        <x:v>automotive repair direct mail</x:v>
      </x:c>
      <x:c r="B104" s="8" t="n">
        <x:v>0</x:v>
      </x:c>
      <x:c r="C104" s="8" t="n">
        <x:v>20</x:v>
      </x:c>
      <x:c r="D104" s="9" t="n">
        <x:v>0</x:v>
      </x:c>
      <x:c r="E104" s="10" t="n">
        <x:v>30.4</x:v>
      </x:c>
      <x:c r="F104" t="str">
        <x:v>Direct Mail</x:v>
      </x:c>
      <x:c r="G104" s="11" t="n">
        <x:f>C104*E104</x:f>
        <x:v>608</x:v>
      </x:c>
    </x:row>
    <x:row r="105">
      <x:c r="A105" t="str">
        <x:v>digital marketing agency automotive</x:v>
      </x:c>
      <x:c r="B105" s="8" t="n">
        <x:v>0</x:v>
      </x:c>
      <x:c r="C105" s="8" t="n">
        <x:v>19</x:v>
      </x:c>
      <x:c r="D105" s="9" t="n">
        <x:v>0</x:v>
      </x:c>
      <x:c r="E105" s="10" t="n">
        <x:v>1.21</x:v>
      </x:c>
      <x:c r="F105" t="str">
        <x:v>Agency / Consultant</x:v>
      </x:c>
      <x:c r="G105" s="11" t="n">
        <x:f>C105*E105</x:f>
        <x:v>22.99</x:v>
      </x:c>
    </x:row>
    <x:row r="106">
      <x:c r="A106" t="str">
        <x:v>turn key auto repair</x:v>
      </x:c>
      <x:c r="B106" s="8" t="n">
        <x:v>0</x:v>
      </x:c>
      <x:c r="C106" s="8" t="n">
        <x:v>18</x:v>
      </x:c>
      <x:c r="D106" s="9" t="n">
        <x:v>0</x:v>
      </x:c>
      <x:c r="E106" s="10" t="n">
        <x:v>10.22</x:v>
      </x:c>
      <x:c r="F106" t="str">
        <x:v>Other</x:v>
      </x:c>
      <x:c r="G106" s="11" t="n">
        <x:f>C106*E106</x:f>
        <x:v>183.96</x:v>
      </x:c>
    </x:row>
    <x:row r="107">
      <x:c r="A107" t="str">
        <x:v>broker dealer turnkey marketing support</x:v>
      </x:c>
      <x:c r="B107" s="8" t="n">
        <x:v>0</x:v>
      </x:c>
      <x:c r="C107" s="8" t="n">
        <x:v>17</x:v>
      </x:c>
      <x:c r="D107" s="9" t="n">
        <x:v>0</x:v>
      </x:c>
      <x:c r="E107" s="10" t="n">
        <x:v>13.29</x:v>
      </x:c>
      <x:c r="F107" t="str">
        <x:v>Branded</x:v>
      </x:c>
      <x:c r="G107" s="11" t="n">
        <x:f>C107*E107</x:f>
        <x:v>225.92999999999998</x:v>
      </x:c>
    </x:row>
    <x:row r="108">
      <x:c r="A108" t="str">
        <x:v>turnkey product management</x:v>
      </x:c>
      <x:c r="B108" s="8" t="n">
        <x:v>0</x:v>
      </x:c>
      <x:c r="C108" s="8" t="n">
        <x:v>17</x:v>
      </x:c>
      <x:c r="D108" s="9" t="n">
        <x:v>0</x:v>
      </x:c>
      <x:c r="E108" s="10" t="n">
        <x:v>28</x:v>
      </x:c>
      <x:c r="F108" t="str">
        <x:v>Branded</x:v>
      </x:c>
      <x:c r="G108" s="11" t="n">
        <x:f>C108*E108</x:f>
        <x:v>476</x:v>
      </x:c>
    </x:row>
    <x:row r="109">
      <x:c r="A109" t="str">
        <x:v>car repair marketing</x:v>
      </x:c>
      <x:c r="B109" s="8" t="n">
        <x:v>0</x:v>
      </x:c>
      <x:c r="C109" s="8" t="n">
        <x:v>17</x:v>
      </x:c>
      <x:c r="D109" s="9" t="n">
        <x:v>0</x:v>
      </x:c>
      <x:c r="E109" s="10" t="n">
        <x:v>51.53</x:v>
      </x:c>
      <x:c r="F109" t="str">
        <x:v>Other</x:v>
      </x:c>
      <x:c r="G109" s="11" t="n">
        <x:f>C109*E109</x:f>
        <x:v>876.01</x:v>
      </x:c>
    </x:row>
    <x:row r="110">
      <x:c r="A110" t="str">
        <x:v>email marketing for auto repair shops</x:v>
      </x:c>
      <x:c r="B110" s="8" t="n">
        <x:v>0</x:v>
      </x:c>
      <x:c r="C110" s="8" t="n">
        <x:v>17</x:v>
      </x:c>
      <x:c r="D110" s="9" t="n">
        <x:v>0</x:v>
      </x:c>
      <x:c r="E110" s="10" t="n">
        <x:v>85.94</x:v>
      </x:c>
      <x:c r="F110" t="str">
        <x:v>Retention / Email</x:v>
      </x:c>
      <x:c r="G110" s="11" t="n">
        <x:f>C110*E110</x:f>
        <x:v>1460.98</x:v>
      </x:c>
    </x:row>
    <x:row r="111">
      <x:c r="A111" t="str">
        <x:v>auto repair marketing companies near me</x:v>
      </x:c>
      <x:c r="B111" s="8" t="n">
        <x:v>0</x:v>
      </x:c>
      <x:c r="C111" s="8" t="n">
        <x:v>16</x:v>
      </x:c>
      <x:c r="D111" s="9" t="n">
        <x:v>0</x:v>
      </x:c>
      <x:c r="E111" s="10" t="n">
        <x:v>6.88</x:v>
      </x:c>
      <x:c r="F111" t="str">
        <x:v>Comparison / Companies</x:v>
      </x:c>
      <x:c r="G111" s="11" t="n">
        <x:f>C111*E111</x:f>
        <x:v>110.08</x:v>
      </x:c>
    </x:row>
    <x:row r="112">
      <x:c r="A112" t="str">
        <x:v>turn key auto</x:v>
      </x:c>
      <x:c r="B112" s="8" t="n">
        <x:v>0</x:v>
      </x:c>
      <x:c r="C112" s="8" t="n">
        <x:v>16</x:v>
      </x:c>
      <x:c r="D112" s="9" t="n">
        <x:v>0</x:v>
      </x:c>
      <x:c r="E112" s="10" t="n">
        <x:v>7.81</x:v>
      </x:c>
      <x:c r="F112" t="str">
        <x:v>Other</x:v>
      </x:c>
      <x:c r="G112" s="11" t="n">
        <x:f>C112*E112</x:f>
        <x:v>124.96</x:v>
      </x:c>
    </x:row>
    <x:row r="113">
      <x:c r="A113" t="str">
        <x:v>auto repair shop marketing strategies</x:v>
      </x:c>
      <x:c r="B113" s="8" t="n">
        <x:v>0</x:v>
      </x:c>
      <x:c r="C113" s="8" t="n">
        <x:v>16</x:v>
      </x:c>
      <x:c r="D113" s="9" t="n">
        <x:v>0</x:v>
      </x:c>
      <x:c r="E113" s="10" t="n">
        <x:v>39.81</x:v>
      </x:c>
      <x:c r="F113" t="str">
        <x:v>Marketing Plan / Strategy</x:v>
      </x:c>
      <x:c r="G113" s="11" t="n">
        <x:f>C113*E113</x:f>
        <x:v>636.96</x:v>
      </x:c>
    </x:row>
    <x:row r="114">
      <x:c r="A114" t="str">
        <x:v>auto repair digital marketing experts</x:v>
      </x:c>
      <x:c r="B114" s="8" t="n">
        <x:v>0</x:v>
      </x:c>
      <x:c r="C114" s="8" t="n">
        <x:v>16</x:v>
      </x:c>
      <x:c r="D114" s="9" t="n">
        <x:v>0</x:v>
      </x:c>
      <x:c r="E114" s="10" t="n">
        <x:v>43.75</x:v>
      </x:c>
      <x:c r="F114" t="str">
        <x:v>Digital Marketing</x:v>
      </x:c>
      <x:c r="G114" s="11" t="n">
        <x:f>C114*E114</x:f>
        <x:v>700</x:v>
      </x:c>
    </x:row>
    <x:row r="115">
      <x:c r="A115" t="str">
        <x:v>auto shop marketing</x:v>
      </x:c>
      <x:c r="B115" s="8" t="n">
        <x:v>0</x:v>
      </x:c>
      <x:c r="C115" s="8" t="n">
        <x:v>16</x:v>
      </x:c>
      <x:c r="D115" s="9" t="n">
        <x:v>0</x:v>
      </x:c>
      <x:c r="E115" s="10" t="n">
        <x:v>52.06</x:v>
      </x:c>
      <x:c r="F115" t="str">
        <x:v>Core Marketing</x:v>
      </x:c>
      <x:c r="G115" s="11" t="n">
        <x:f>C115*E115</x:f>
        <x:v>832.96</x:v>
      </x:c>
    </x:row>
    <x:row r="116">
      <x:c r="A116" t="str">
        <x:v>repair shop marketing</x:v>
      </x:c>
      <x:c r="B116" s="8" t="n">
        <x:v>0</x:v>
      </x:c>
      <x:c r="C116" s="8" t="n">
        <x:v>16</x:v>
      </x:c>
      <x:c r="D116" s="9" t="n">
        <x:v>0</x:v>
      </x:c>
      <x:c r="E116" s="10" t="n">
        <x:v>54.88</x:v>
      </x:c>
      <x:c r="F116" t="str">
        <x:v>Other</x:v>
      </x:c>
      <x:c r="G116" s="11" t="n">
        <x:f>C116*E116</x:f>
        <x:v>878.08</x:v>
      </x:c>
    </x:row>
    <x:row r="117">
      <x:c r="A117" t="str">
        <x:v>auto repair ppc</x:v>
      </x:c>
      <x:c r="B117" s="8" t="n">
        <x:v>0</x:v>
      </x:c>
      <x:c r="C117" s="8" t="n">
        <x:v>16</x:v>
      </x:c>
      <x:c r="D117" s="9" t="n">
        <x:v>0</x:v>
      </x:c>
      <x:c r="E117" s="10" t="n">
        <x:v>83</x:v>
      </x:c>
      <x:c r="F117" t="str">
        <x:v>Other</x:v>
      </x:c>
      <x:c r="G117" s="11" t="n">
        <x:f>C117*E117</x:f>
        <x:v>1328</x:v>
      </x:c>
    </x:row>
    <x:row r="118">
      <x:c r="A118" t="str">
        <x:v>auto dealer marketing agencies</x:v>
      </x:c>
      <x:c r="B118" s="8" t="n">
        <x:v>0</x:v>
      </x:c>
      <x:c r="C118" s="8" t="n">
        <x:v>15</x:v>
      </x:c>
      <x:c r="D118" s="9" t="n">
        <x:v>0</x:v>
      </x:c>
      <x:c r="E118" s="10" t="n">
        <x:v>12.67</x:v>
      </x:c>
      <x:c r="F118" t="str">
        <x:v>Other</x:v>
      </x:c>
      <x:c r="G118" s="11" t="n">
        <x:f>C118*E118</x:f>
        <x:v>190.05</x:v>
      </x:c>
    </x:row>
    <x:row r="119">
      <x:c r="A119" t="str">
        <x:v>automarketing</x:v>
      </x:c>
      <x:c r="B119" s="8" t="n">
        <x:v>0</x:v>
      </x:c>
      <x:c r="C119" s="8" t="n">
        <x:v>15</x:v>
      </x:c>
      <x:c r="D119" s="9" t="n">
        <x:v>0</x:v>
      </x:c>
      <x:c r="E119" s="10" t="n">
        <x:v>14.27</x:v>
      </x:c>
      <x:c r="F119" t="str">
        <x:v>Other</x:v>
      </x:c>
      <x:c r="G119" s="11" t="n">
        <x:f>C119*E119</x:f>
        <x:v>214.04999999999998</x:v>
      </x:c>
    </x:row>
    <x:row r="120">
      <x:c r="A120" t="str">
        <x:v>turn marketing</x:v>
      </x:c>
      <x:c r="B120" s="8" t="n">
        <x:v>0</x:v>
      </x:c>
      <x:c r="C120" s="8" t="n">
        <x:v>15</x:v>
      </x:c>
      <x:c r="D120" s="9" t="n">
        <x:v>0</x:v>
      </x:c>
      <x:c r="E120" s="10" t="n">
        <x:v>21.87</x:v>
      </x:c>
      <x:c r="F120" t="str">
        <x:v>Other</x:v>
      </x:c>
      <x:c r="G120" s="11" t="n">
        <x:f>C120*E120</x:f>
        <x:v>328.05</x:v>
      </x:c>
    </x:row>
    <x:row r="121">
      <x:c r="A121" t="str">
        <x:v>automotive repair shop marketing</x:v>
      </x:c>
      <x:c r="B121" s="8" t="n">
        <x:v>0</x:v>
      </x:c>
      <x:c r="C121" s="8" t="n">
        <x:v>15</x:v>
      </x:c>
      <x:c r="D121" s="9" t="n">
        <x:v>0</x:v>
      </x:c>
      <x:c r="E121" s="10" t="n">
        <x:v>22.33</x:v>
      </x:c>
      <x:c r="F121" t="str">
        <x:v>Core Marketing</x:v>
      </x:c>
      <x:c r="G121" s="11" t="n">
        <x:f>C121*E121</x:f>
        <x:v>334.95</x:v>
      </x:c>
    </x:row>
    <x:row r="122">
      <x:c r="A122" t="str">
        <x:v>auto repair digital marketing services</x:v>
      </x:c>
      <x:c r="B122" s="8" t="n">
        <x:v>0</x:v>
      </x:c>
      <x:c r="C122" s="8" t="n">
        <x:v>15</x:v>
      </x:c>
      <x:c r="D122" s="9" t="n">
        <x:v>0</x:v>
      </x:c>
      <x:c r="E122" s="10" t="n">
        <x:v>47.13</x:v>
      </x:c>
      <x:c r="F122" t="str">
        <x:v>Marketing Services</x:v>
      </x:c>
      <x:c r="G122" s="11" t="n">
        <x:f>C122*E122</x:f>
        <x:v>706.95</x:v>
      </x:c>
    </x:row>
    <x:row r="123">
      <x:c r="A123" t="str">
        <x:v>marketing an auto repair business</x:v>
      </x:c>
      <x:c r="B123" s="8" t="n">
        <x:v>0</x:v>
      </x:c>
      <x:c r="C123" s="8" t="n">
        <x:v>15</x:v>
      </x:c>
      <x:c r="D123" s="9" t="n">
        <x:v>0</x:v>
      </x:c>
      <x:c r="E123" s="10" t="n">
        <x:v>48.2</x:v>
      </x:c>
      <x:c r="F123" t="str">
        <x:v>Other</x:v>
      </x:c>
      <x:c r="G123" s="11" t="n">
        <x:f>C123*E123</x:f>
        <x:v>723</x:v>
      </x:c>
    </x:row>
    <x:row r="124">
      <x:c r="A124" t="str">
        <x:v>marketing reporting overland park ks</x:v>
      </x:c>
      <x:c r="B124" s="8" t="n">
        <x:v>0</x:v>
      </x:c>
      <x:c r="C124" s="8" t="n">
        <x:v>14</x:v>
      </x:c>
      <x:c r="D124" s="9" t="n">
        <x:v>0</x:v>
      </x:c>
      <x:c r="E124" s="10" t="n">
        <x:v>25.93</x:v>
      </x:c>
      <x:c r="F124" t="str">
        <x:v>Other</x:v>
      </x:c>
      <x:c r="G124" s="11" t="n">
        <x:f>C124*E124</x:f>
        <x:v>363.02</x:v>
      </x:c>
    </x:row>
    <x:row r="125">
      <x:c r="A125" t="str">
        <x:v>auto repair digital marketing companies</x:v>
      </x:c>
      <x:c r="B125" s="8" t="n">
        <x:v>0</x:v>
      </x:c>
      <x:c r="C125" s="8" t="n">
        <x:v>14</x:v>
      </x:c>
      <x:c r="D125" s="9" t="n">
        <x:v>0</x:v>
      </x:c>
      <x:c r="E125" s="10" t="n">
        <x:v>33.93</x:v>
      </x:c>
      <x:c r="F125" t="str">
        <x:v>Comparison / Companies</x:v>
      </x:c>
      <x:c r="G125" s="11" t="n">
        <x:f>C125*E125</x:f>
        <x:v>475.02</x:v>
      </x:c>
    </x:row>
    <x:row r="126">
      <x:c r="A126" t="str">
        <x:v>marketing strategies for auto repair shops</x:v>
      </x:c>
      <x:c r="B126" s="8" t="n">
        <x:v>0</x:v>
      </x:c>
      <x:c r="C126" s="8" t="n">
        <x:v>14</x:v>
      </x:c>
      <x:c r="D126" s="9" t="n">
        <x:v>0</x:v>
      </x:c>
      <x:c r="E126" s="10" t="n">
        <x:v>47.71</x:v>
      </x:c>
      <x:c r="F126" t="str">
        <x:v>Marketing Plan / Strategy</x:v>
      </x:c>
      <x:c r="G126" s="11" t="n">
        <x:f>C126*E126</x:f>
        <x:v>667.94</x:v>
      </x:c>
    </x:row>
    <x:row r="127">
      <x:c r="A127" t="str">
        <x:v>marketing an auto repair shop</x:v>
      </x:c>
      <x:c r="B127" s="8" t="n">
        <x:v>0</x:v>
      </x:c>
      <x:c r="C127" s="8" t="n">
        <x:v>14</x:v>
      </x:c>
      <x:c r="D127" s="9" t="n">
        <x:v>0</x:v>
      </x:c>
      <x:c r="E127" s="10" t="n">
        <x:v>59.79</x:v>
      </x:c>
      <x:c r="F127" t="str">
        <x:v>Other</x:v>
      </x:c>
      <x:c r="G127" s="11" t="n">
        <x:f>C127*E127</x:f>
        <x:v>837.06</x:v>
      </x:c>
    </x:row>
    <x:row r="128">
      <x:c r="A128" t="str">
        <x:v>online marketing for auto repair shops</x:v>
      </x:c>
      <x:c r="B128" s="8" t="n">
        <x:v>0</x:v>
      </x:c>
      <x:c r="C128" s="8" t="n">
        <x:v>14</x:v>
      </x:c>
      <x:c r="D128" s="9" t="n">
        <x:v>0</x:v>
      </x:c>
      <x:c r="E128" s="10" t="n">
        <x:v>68.36</x:v>
      </x:c>
      <x:c r="F128" t="str">
        <x:v>Other</x:v>
      </x:c>
      <x:c r="G128" s="11" t="n">
        <x:f>C128*E128</x:f>
        <x:v>957.04</x:v>
      </x:c>
    </x:row>
    <x:row r="129">
      <x:c r="A129" t="str">
        <x:v>auto repair lead generation</x:v>
      </x:c>
      <x:c r="B129" s="8" t="n">
        <x:v>0</x:v>
      </x:c>
      <x:c r="C129" s="8" t="n">
        <x:v>14</x:v>
      </x:c>
      <x:c r="D129" s="9" t="n">
        <x:v>0</x:v>
      </x:c>
      <x:c r="E129" s="10" t="n">
        <x:v>76.29</x:v>
      </x:c>
      <x:c r="F129" t="str">
        <x:v>Lead Generation / Growth</x:v>
      </x:c>
      <x:c r="G129" s="11" t="n">
        <x:f>C129*E129</x:f>
        <x:v>1068.0600000000002</x:v>
      </x:c>
    </x:row>
    <x:row r="130">
      <x:c r="A130" t="str">
        <x:v>turn key auto service</x:v>
      </x:c>
      <x:c r="B130" s="8" t="n">
        <x:v>0</x:v>
      </x:c>
      <x:c r="C130" s="8" t="n">
        <x:v>13</x:v>
      </x:c>
      <x:c r="D130" s="9" t="n">
        <x:v>0</x:v>
      </x:c>
      <x:c r="E130" s="10" t="n">
        <x:v>9.31</x:v>
      </x:c>
      <x:c r="F130" t="str">
        <x:v>Other</x:v>
      </x:c>
      <x:c r="G130" s="11" t="n">
        <x:f>C130*E130</x:f>
        <x:v>121.03</x:v>
      </x:c>
    </x:row>
    <x:row r="131">
      <x:c r="A131" t="str">
        <x:v>turnkey promotions</x:v>
      </x:c>
      <x:c r="B131" s="8" t="n">
        <x:v>0</x:v>
      </x:c>
      <x:c r="C131" s="8" t="n">
        <x:v>13</x:v>
      </x:c>
      <x:c r="D131" s="9" t="n">
        <x:v>0</x:v>
      </x:c>
      <x:c r="E131" s="10" t="n">
        <x:v>17.62</x:v>
      </x:c>
      <x:c r="F131" t="str">
        <x:v>Branded</x:v>
      </x:c>
      <x:c r="G131" s="11" t="n">
        <x:f>C131*E131</x:f>
        <x:v>229.06</x:v>
      </x:c>
    </x:row>
    <x:row r="132">
      <x:c r="A132" t="str">
        <x:v>marketing reporting overland park kansas</x:v>
      </x:c>
      <x:c r="B132" s="8" t="n">
        <x:v>0</x:v>
      </x:c>
      <x:c r="C132" s="8" t="n">
        <x:v>13</x:v>
      </x:c>
      <x:c r="D132" s="9" t="n">
        <x:v>0</x:v>
      </x:c>
      <x:c r="E132" s="10" t="n">
        <x:v>42.46</x:v>
      </x:c>
      <x:c r="F132" t="str">
        <x:v>Other</x:v>
      </x:c>
      <x:c r="G132" s="11" t="n">
        <x:f>C132*E132</x:f>
        <x:v>551.98</x:v>
      </x:c>
    </x:row>
    <x:row r="133">
      <x:c r="A133" t="str">
        <x:v>auto parts marketing services</x:v>
      </x:c>
      <x:c r="B133" s="8" t="n">
        <x:v>0</x:v>
      </x:c>
      <x:c r="C133" s="8" t="n">
        <x:v>12</x:v>
      </x:c>
      <x:c r="D133" s="9" t="n">
        <x:v>0</x:v>
      </x:c>
      <x:c r="E133" s="10" t="n">
        <x:v>32.83</x:v>
      </x:c>
      <x:c r="F133" t="str">
        <x:v>Marketing Services</x:v>
      </x:c>
      <x:c r="G133" s="11" t="n">
        <x:f>C133*E133</x:f>
        <x:v>393.96</x:v>
      </x:c>
    </x:row>
    <x:row r="134">
      <x:c r="A134" t="str">
        <x:v>auto service marketing</x:v>
      </x:c>
      <x:c r="B134" s="8" t="n">
        <x:v>0</x:v>
      </x:c>
      <x:c r="C134" s="8" t="n">
        <x:v>12</x:v>
      </x:c>
      <x:c r="D134" s="9" t="n">
        <x:v>0</x:v>
      </x:c>
      <x:c r="E134" s="10" t="n">
        <x:v>40.92</x:v>
      </x:c>
      <x:c r="F134" t="str">
        <x:v>Other</x:v>
      </x:c>
      <x:c r="G134" s="11" t="n">
        <x:f>C134*E134</x:f>
        <x:v>491.04</x:v>
      </x:c>
    </x:row>
    <x:row r="135">
      <x:c r="A135" t="str">
        <x:v>auto mechanic marketing</x:v>
      </x:c>
      <x:c r="B135" s="8" t="n">
        <x:v>0</x:v>
      </x:c>
      <x:c r="C135" s="8" t="n">
        <x:v>12</x:v>
      </x:c>
      <x:c r="D135" s="9" t="n">
        <x:v>0</x:v>
      </x:c>
      <x:c r="E135" s="10" t="n">
        <x:v>51.83</x:v>
      </x:c>
      <x:c r="F135" t="str">
        <x:v>Core Marketing</x:v>
      </x:c>
      <x:c r="G135" s="11" t="n">
        <x:f>C135*E135</x:f>
        <x:v>621.96</x:v>
      </x:c>
    </x:row>
    <x:row r="136">
      <x:c r="A136" t="str">
        <x:v>turnkey in-store marketing execution providers</x:v>
      </x:c>
      <x:c r="B136" s="8" t="n">
        <x:v>0</x:v>
      </x:c>
      <x:c r="C136" s="8" t="n">
        <x:v>11</x:v>
      </x:c>
      <x:c r="D136" s="9" t="n">
        <x:v>0</x:v>
      </x:c>
      <x:c r="E136" s="10" t="n">
        <x:v>9.55</x:v>
      </x:c>
      <x:c r="F136" t="str">
        <x:v>Branded</x:v>
      </x:c>
      <x:c r="G136" s="11" t="n">
        <x:f>C136*E136</x:f>
        <x:v>105.05000000000001</x:v>
      </x:c>
    </x:row>
    <x:row r="137">
      <x:c r="A137" t="str">
        <x:v>turnkey marketing platforms</x:v>
      </x:c>
      <x:c r="B137" s="8" t="n">
        <x:v>0</x:v>
      </x:c>
      <x:c r="C137" s="8" t="n">
        <x:v>11</x:v>
      </x:c>
      <x:c r="D137" s="9" t="n">
        <x:v>0</x:v>
      </x:c>
      <x:c r="E137" s="10" t="n">
        <x:v>30.64</x:v>
      </x:c>
      <x:c r="F137" t="str">
        <x:v>Branded</x:v>
      </x:c>
      <x:c r="G137" s="11" t="n">
        <x:f>C137*E137</x:f>
        <x:v>337.04</x:v>
      </x:c>
    </x:row>
    <x:row r="138">
      <x:c r="A138" t="str">
        <x:v>digital marketing for auto repair shop</x:v>
      </x:c>
      <x:c r="B138" s="8" t="n">
        <x:v>0</x:v>
      </x:c>
      <x:c r="C138" s="8" t="n">
        <x:v>11</x:v>
      </x:c>
      <x:c r="D138" s="9" t="n">
        <x:v>0</x:v>
      </x:c>
      <x:c r="E138" s="10" t="n">
        <x:v>67.09</x:v>
      </x:c>
      <x:c r="F138" t="str">
        <x:v>Digital Marketing</x:v>
      </x:c>
      <x:c r="G138" s="11" t="n">
        <x:f>C138*E138</x:f>
        <x:v>737.99</x:v>
      </x:c>
    </x:row>
    <x:row r="139">
      <x:c r="A139" t="str">
        <x:v>repair shop guide</x:v>
      </x:c>
      <x:c r="B139" s="8" t="n">
        <x:v>0</x:v>
      </x:c>
      <x:c r="C139" s="8" t="n">
        <x:v>10</x:v>
      </x:c>
      <x:c r="D139" s="9" t="n">
        <x:v>0</x:v>
      </x:c>
      <x:c r="E139" s="10" t="n">
        <x:v>31.3</x:v>
      </x:c>
      <x:c r="F139" t="str">
        <x:v>Other</x:v>
      </x:c>
      <x:c r="G139" s="11" t="n">
        <x:f>C139*E139</x:f>
        <x:v>313</x:v>
      </x:c>
    </x:row>
    <x:row r="140">
      <x:c r="A140" t="str">
        <x:v>auto mechanic digital marketing</x:v>
      </x:c>
      <x:c r="B140" s="8" t="n">
        <x:v>0</x:v>
      </x:c>
      <x:c r="C140" s="8" t="n">
        <x:v>10</x:v>
      </x:c>
      <x:c r="D140" s="9" t="n">
        <x:v>0</x:v>
      </x:c>
      <x:c r="E140" s="10" t="n">
        <x:v>39.5</x:v>
      </x:c>
      <x:c r="F140" t="str">
        <x:v>Digital Marketing</x:v>
      </x:c>
      <x:c r="G140" s="11" t="n">
        <x:f>C140*E140</x:f>
        <x:v>395</x:v>
      </x:c>
    </x:row>
    <x:row r="141">
      <x:c r="A141" t="str">
        <x:v>auto shop digital marketing</x:v>
      </x:c>
      <x:c r="B141" s="8" t="n">
        <x:v>0</x:v>
      </x:c>
      <x:c r="C141" s="8" t="n">
        <x:v>10</x:v>
      </x:c>
      <x:c r="D141" s="9" t="n">
        <x:v>0</x:v>
      </x:c>
      <x:c r="E141" s="10" t="n">
        <x:v>42.3</x:v>
      </x:c>
      <x:c r="F141" t="str">
        <x:v>Digital Marketing</x:v>
      </x:c>
      <x:c r="G141" s="11" t="n">
        <x:f>C141*E141</x:f>
        <x:v>423</x:v>
      </x:c>
    </x:row>
    <x:row r="142">
      <x:c r="A142" t="str">
        <x:v>auto repair shop social media</x:v>
      </x:c>
      <x:c r="B142" s="8" t="n">
        <x:v>0</x:v>
      </x:c>
      <x:c r="C142" s="8" t="n">
        <x:v>10</x:v>
      </x:c>
      <x:c r="D142" s="9" t="n">
        <x:v>0</x:v>
      </x:c>
      <x:c r="E142" s="10" t="n">
        <x:v>50.9</x:v>
      </x:c>
      <x:c r="F142" t="str">
        <x:v>Social Media</x:v>
      </x:c>
      <x:c r="G142" s="11" t="n">
        <x:f>C142*E142</x:f>
        <x:v>509</x:v>
      </x:c>
    </x:row>
    <x:row r="143">
      <x:c r="A143" t="str">
        <x:v>auto body shop marketing plan</x:v>
      </x:c>
      <x:c r="B143" s="8" t="n">
        <x:v>0</x:v>
      </x:c>
      <x:c r="C143" s="8" t="n">
        <x:v>10</x:v>
      </x:c>
      <x:c r="D143" s="9" t="n">
        <x:v>0</x:v>
      </x:c>
      <x:c r="E143" s="10" t="n">
        <x:v>55.7</x:v>
      </x:c>
      <x:c r="F143" t="str">
        <x:v>Marketing Plan / Strategy</x:v>
      </x:c>
      <x:c r="G143" s="11" t="n">
        <x:f>C143*E143</x:f>
        <x:v>557</x:v>
      </x:c>
    </x:row>
    <x:row r="144">
      <x:c r="A144" t="str">
        <x:v>auto repair shop business marketing</x:v>
      </x:c>
      <x:c r="B144" s="8" t="n">
        <x:v>0</x:v>
      </x:c>
      <x:c r="C144" s="8" t="n">
        <x:v>10</x:v>
      </x:c>
      <x:c r="D144" s="9" t="n">
        <x:v>0</x:v>
      </x:c>
      <x:c r="E144" s="10" t="n">
        <x:v>66.3</x:v>
      </x:c>
      <x:c r="F144" t="str">
        <x:v>Core Marketing</x:v>
      </x:c>
      <x:c r="G144" s="11" t="n">
        <x:f>C144*E144</x:f>
        <x:v>663</x:v>
      </x:c>
    </x:row>
    <x:row r="145">
      <x:c r="A145" t="str">
        <x:v>kansas city linkedin marketing</x:v>
      </x:c>
      <x:c r="B145" s="8" t="n">
        <x:v>0</x:v>
      </x:c>
      <x:c r="C145" s="8" t="n">
        <x:v>9</x:v>
      </x:c>
      <x:c r="D145" s="9" t="n">
        <x:v>0</x:v>
      </x:c>
      <x:c r="E145" s="10" t="n">
        <x:v>1</x:v>
      </x:c>
      <x:c r="F145" t="str">
        <x:v>Other</x:v>
      </x:c>
      <x:c r="G145" s="11" t="n">
        <x:f>C145*E145</x:f>
        <x:v>9</x:v>
      </x:c>
    </x:row>
    <x:row r="146">
      <x:c r="A146" t="str">
        <x:v>auto marketing experts</x:v>
      </x:c>
      <x:c r="B146" s="8" t="n">
        <x:v>0</x:v>
      </x:c>
      <x:c r="C146" s="8" t="n">
        <x:v>9</x:v>
      </x:c>
      <x:c r="D146" s="9" t="n">
        <x:v>0</x:v>
      </x:c>
      <x:c r="E146" s="10" t="n">
        <x:v>13.56</x:v>
      </x:c>
      <x:c r="F146" t="str">
        <x:v>Other</x:v>
      </x:c>
      <x:c r="G146" s="11" t="n">
        <x:f>C146*E146</x:f>
        <x:v>122.04</x:v>
      </x:c>
    </x:row>
    <x:row r="147">
      <x:c r="A147" t="str">
        <x:v>auto repair social media</x:v>
      </x:c>
      <x:c r="B147" s="8" t="n">
        <x:v>0</x:v>
      </x:c>
      <x:c r="C147" s="8" t="n">
        <x:v>9</x:v>
      </x:c>
      <x:c r="D147" s="9" t="n">
        <x:v>0</x:v>
      </x:c>
      <x:c r="E147" s="10" t="n">
        <x:v>24.67</x:v>
      </x:c>
      <x:c r="F147" t="str">
        <x:v>Social Media</x:v>
      </x:c>
      <x:c r="G147" s="11" t="n">
        <x:f>C147*E147</x:f>
        <x:v>222.03000000000003</x:v>
      </x:c>
    </x:row>
    <x:row r="148">
      <x:c r="A148" t="str">
        <x:v>auto shop direct mail</x:v>
      </x:c>
      <x:c r="B148" s="8" t="n">
        <x:v>0</x:v>
      </x:c>
      <x:c r="C148" s="8" t="n">
        <x:v>9</x:v>
      </x:c>
      <x:c r="D148" s="9" t="n">
        <x:v>0</x:v>
      </x:c>
      <x:c r="E148" s="10" t="n">
        <x:v>26</x:v>
      </x:c>
      <x:c r="F148" t="str">
        <x:v>Direct Mail</x:v>
      </x:c>
      <x:c r="G148" s="11" t="n">
        <x:f>C148*E148</x:f>
        <x:v>234</x:v>
      </x:c>
    </x:row>
    <x:row r="149">
      <x:c r="A149" t="str">
        <x:v>guide to auto repair marketing</x:v>
      </x:c>
      <x:c r="B149" s="8" t="n">
        <x:v>0</x:v>
      </x:c>
      <x:c r="C149" s="8" t="n">
        <x:v>9</x:v>
      </x:c>
      <x:c r="D149" s="9" t="n">
        <x:v>0</x:v>
      </x:c>
      <x:c r="E149" s="10" t="n">
        <x:v>34.67</x:v>
      </x:c>
      <x:c r="F149" t="str">
        <x:v>Core Marketing</x:v>
      </x:c>
      <x:c r="G149" s="11" t="n">
        <x:f>C149*E149</x:f>
        <x:v>312.03000000000003</x:v>
      </x:c>
    </x:row>
    <x:row r="150">
      <x:c r="A150" t="str">
        <x:v>auto repair shop social media marketing</x:v>
      </x:c>
      <x:c r="B150" s="8" t="n">
        <x:v>0</x:v>
      </x:c>
      <x:c r="C150" s="8" t="n">
        <x:v>9</x:v>
      </x:c>
      <x:c r="D150" s="9" t="n">
        <x:v>0</x:v>
      </x:c>
      <x:c r="E150" s="10" t="n">
        <x:v>39.33</x:v>
      </x:c>
      <x:c r="F150" t="str">
        <x:v>Social Media</x:v>
      </x:c>
      <x:c r="G150" s="11" t="n">
        <x:f>C150*E150</x:f>
        <x:v>353.96999999999997</x:v>
      </x:c>
    </x:row>
    <x:row r="151">
      <x:c r="A151" t="str">
        <x:v>auto repair marketing ultimate guide</x:v>
      </x:c>
      <x:c r="B151" s="8" t="n">
        <x:v>0</x:v>
      </x:c>
      <x:c r="C151" s="8" t="n">
        <x:v>9</x:v>
      </x:c>
      <x:c r="D151" s="9" t="n">
        <x:v>0</x:v>
      </x:c>
      <x:c r="E151" s="10" t="n">
        <x:v>40.56</x:v>
      </x:c>
      <x:c r="F151" t="str">
        <x:v>Core Marketing</x:v>
      </x:c>
      <x:c r="G151" s="11" t="n">
        <x:f>C151*E151</x:f>
        <x:v>365.04</x:v>
      </x:c>
    </x:row>
    <x:row r="152">
      <x:c r="A152" t="str">
        <x:v>auto repair shop facebook marketing</x:v>
      </x:c>
      <x:c r="B152" s="8" t="n">
        <x:v>0</x:v>
      </x:c>
      <x:c r="C152" s="8" t="n">
        <x:v>9</x:v>
      </x:c>
      <x:c r="D152" s="9" t="n">
        <x:v>0</x:v>
      </x:c>
      <x:c r="E152" s="10" t="n">
        <x:v>58</x:v>
      </x:c>
      <x:c r="F152" t="str">
        <x:v>Social Media</x:v>
      </x:c>
      <x:c r="G152" s="11" t="n">
        <x:f>C152*E152</x:f>
        <x:v>522</x:v>
      </x:c>
    </x:row>
    <x:row r="153">
      <x:c r="A153" t="str">
        <x:v>online marketing overland park</x:v>
      </x:c>
      <x:c r="B153" s="8" t="n">
        <x:v>0</x:v>
      </x:c>
      <x:c r="C153" s="8" t="n">
        <x:v>8</x:v>
      </x:c>
      <x:c r="D153" s="9" t="n">
        <x:v>0</x:v>
      </x:c>
      <x:c r="E153" s="10" t="n">
        <x:v>1</x:v>
      </x:c>
      <x:c r="F153" t="str">
        <x:v>Other</x:v>
      </x:c>
      <x:c r="G153" s="11" t="n">
        <x:f>C153*E153</x:f>
        <x:v>8</x:v>
      </x:c>
    </x:row>
    <x:row r="154">
      <x:c r="A154" t="str">
        <x:v>marketing agency for mechanics. my location is usa.</x:v>
      </x:c>
      <x:c r="B154" s="8" t="n">
        <x:v>0</x:v>
      </x:c>
      <x:c r="C154" s="8" t="n">
        <x:v>8</x:v>
      </x:c>
      <x:c r="D154" s="9" t="n">
        <x:v>0</x:v>
      </x:c>
      <x:c r="E154" s="10" t="n">
        <x:v>8.75</x:v>
      </x:c>
      <x:c r="F154" t="str">
        <x:v>Agency / Consultant</x:v>
      </x:c>
      <x:c r="G154" s="11" t="n">
        <x:f>C154*E154</x:f>
        <x:v>70</x:v>
      </x:c>
    </x:row>
    <x:row r="155">
      <x:c r="A155" t="str">
        <x:v>auto marketing services</x:v>
      </x:c>
      <x:c r="B155" s="8" t="n">
        <x:v>0</x:v>
      </x:c>
      <x:c r="C155" s="8" t="n">
        <x:v>8</x:v>
      </x:c>
      <x:c r="D155" s="9" t="n">
        <x:v>0</x:v>
      </x:c>
      <x:c r="E155" s="10" t="n">
        <x:v>18.25</x:v>
      </x:c>
      <x:c r="F155" t="str">
        <x:v>Marketing Services</x:v>
      </x:c>
      <x:c r="G155" s="11" t="n">
        <x:f>C155*E155</x:f>
        <x:v>146</x:v>
      </x:c>
    </x:row>
    <x:row r="156">
      <x:c r="A156" t="str">
        <x:v>guide to auto repair shop marketing</x:v>
      </x:c>
      <x:c r="B156" s="8" t="n">
        <x:v>0</x:v>
      </x:c>
      <x:c r="C156" s="8" t="n">
        <x:v>8</x:v>
      </x:c>
      <x:c r="D156" s="9" t="n">
        <x:v>0</x:v>
      </x:c>
      <x:c r="E156" s="10" t="n">
        <x:v>63.62</x:v>
      </x:c>
      <x:c r="F156" t="str">
        <x:v>Core Marketing</x:v>
      </x:c>
      <x:c r="G156" s="11" t="n">
        <x:f>C156*E156</x:f>
        <x:v>508.96</x:v>
      </x:c>
    </x:row>
    <x:row r="157">
      <x:c r="A157" t="str">
        <x:v>inbound marketing overland park</x:v>
      </x:c>
      <x:c r="B157" s="8" t="n">
        <x:v>0</x:v>
      </x:c>
      <x:c r="C157" s="8" t="n">
        <x:v>7</x:v>
      </x:c>
      <x:c r="D157" s="9" t="n">
        <x:v>0</x:v>
      </x:c>
      <x:c r="E157" s="10" t="n">
        <x:v>1</x:v>
      </x:c>
      <x:c r="F157" t="str">
        <x:v>Other</x:v>
      </x:c>
      <x:c r="G157" s="11" t="n">
        <x:f>C157*E157</x:f>
        <x:v>7</x:v>
      </x:c>
    </x:row>
    <x:row r="158">
      <x:c r="A158" t="str">
        <x:v>marketing services</x:v>
      </x:c>
      <x:c r="B158" s="8" t="n">
        <x:v>0</x:v>
      </x:c>
      <x:c r="C158" s="8" t="n">
        <x:v>7</x:v>
      </x:c>
      <x:c r="D158" s="9" t="n">
        <x:v>0</x:v>
      </x:c>
      <x:c r="E158" s="10" t="n">
        <x:v>1</x:v>
      </x:c>
      <x:c r="F158" t="str">
        <x:v>Marketing Services</x:v>
      </x:c>
      <x:c r="G158" s="11" t="n">
        <x:f>C158*E158</x:f>
        <x:v>7</x:v>
      </x:c>
    </x:row>
    <x:row r="159">
      <x:c r="A159" t="str">
        <x:v>turnkey marketing strategy with proven results</x:v>
      </x:c>
      <x:c r="B159" s="8" t="n">
        <x:v>0</x:v>
      </x:c>
      <x:c r="C159" s="8" t="n">
        <x:v>7</x:v>
      </x:c>
      <x:c r="D159" s="9" t="n">
        <x:v>0</x:v>
      </x:c>
      <x:c r="E159" s="10" t="n">
        <x:v>14.86</x:v>
      </x:c>
      <x:c r="F159" t="str">
        <x:v>Branded</x:v>
      </x:c>
      <x:c r="G159" s="11" t="n">
        <x:f>C159*E159</x:f>
        <x:v>104.02</x:v>
      </x:c>
    </x:row>
    <x:row r="160">
      <x:c r="A160" t="str">
        <x:v>full service marketing automotive</x:v>
      </x:c>
      <x:c r="B160" s="8" t="n">
        <x:v>0</x:v>
      </x:c>
      <x:c r="C160" s="8" t="n">
        <x:v>7</x:v>
      </x:c>
      <x:c r="D160" s="9" t="n">
        <x:v>0</x:v>
      </x:c>
      <x:c r="E160" s="10" t="n">
        <x:v>23.86</x:v>
      </x:c>
      <x:c r="F160" t="str">
        <x:v>Other</x:v>
      </x:c>
      <x:c r="G160" s="11" t="n">
        <x:f>C160*E160</x:f>
        <x:v>167.01999999999998</x:v>
      </x:c>
    </x:row>
    <x:row r="161">
      <x:c r="A161" t="str">
        <x:v>auto marketing network</x:v>
      </x:c>
      <x:c r="B161" s="8" t="n">
        <x:v>0</x:v>
      </x:c>
      <x:c r="C161" s="8" t="n">
        <x:v>7</x:v>
      </x:c>
      <x:c r="D161" s="9" t="n">
        <x:v>0</x:v>
      </x:c>
      <x:c r="E161" s="10" t="n">
        <x:v>45.57</x:v>
      </x:c>
      <x:c r="F161" t="str">
        <x:v>Other</x:v>
      </x:c>
      <x:c r="G161" s="11" t="n">
        <x:f>C161*E161</x:f>
        <x:v>318.99</x:v>
      </x:c>
    </x:row>
    <x:row r="162">
      <x:c r="A162" t="str">
        <x:v>marketing for auto shops</x:v>
      </x:c>
      <x:c r="B162" s="8" t="n">
        <x:v>0</x:v>
      </x:c>
      <x:c r="C162" s="8" t="n">
        <x:v>7</x:v>
      </x:c>
      <x:c r="D162" s="9" t="n">
        <x:v>0</x:v>
      </x:c>
      <x:c r="E162" s="10" t="n">
        <x:v>54.57</x:v>
      </x:c>
      <x:c r="F162" t="str">
        <x:v>Other</x:v>
      </x:c>
      <x:c r="G162" s="11" t="n">
        <x:f>C162*E162</x:f>
        <x:v>381.99</x:v>
      </x:c>
    </x:row>
    <x:row r="163">
      <x:c r="A163" t="str">
        <x:v>seo plan example for auto repair</x:v>
      </x:c>
      <x:c r="B163" s="8" t="n">
        <x:v>0</x:v>
      </x:c>
      <x:c r="C163" s="8" t="n">
        <x:v>7</x:v>
      </x:c>
      <x:c r="D163" s="9" t="n">
        <x:v>0</x:v>
      </x:c>
      <x:c r="E163" s="10" t="n">
        <x:v>77</x:v>
      </x:c>
      <x:c r="F163" t="str">
        <x:v>Other</x:v>
      </x:c>
      <x:c r="G163" s="11" t="n">
        <x:f>C163*E163</x:f>
        <x:v>539</x:v>
      </x:c>
    </x:row>
    <x:row r="164">
      <x:c r="A164" t="str">
        <x:v>automotive direct mail campaigns</x:v>
      </x:c>
      <x:c r="B164" s="8" t="n">
        <x:v>0</x:v>
      </x:c>
      <x:c r="C164" s="8" t="n">
        <x:v>7</x:v>
      </x:c>
      <x:c r="D164" s="9" t="n">
        <x:v>0</x:v>
      </x:c>
      <x:c r="E164" s="10" t="n">
        <x:v>80</x:v>
      </x:c>
      <x:c r="F164" t="str">
        <x:v>Direct Mail</x:v>
      </x:c>
      <x:c r="G164" s="11" t="n">
        <x:f>C164*E164</x:f>
        <x:v>560</x:v>
      </x:c>
    </x:row>
    <x:row r="165">
      <x:c r="A165" t="str">
        <x:v>ppc for auto repair shops</x:v>
      </x:c>
      <x:c r="B165" s="8" t="n">
        <x:v>0</x:v>
      </x:c>
      <x:c r="C165" s="8" t="n">
        <x:v>7</x:v>
      </x:c>
      <x:c r="D165" s="9" t="n">
        <x:v>0</x:v>
      </x:c>
      <x:c r="E165" s="10" t="n">
        <x:v>82.57</x:v>
      </x:c>
      <x:c r="F165" t="str">
        <x:v>Other</x:v>
      </x:c>
      <x:c r="G165" s="11" t="n">
        <x:f>C165*E165</x:f>
        <x:v>577.99</x:v>
      </x:c>
    </x:row>
    <x:row r="166">
      <x:c r="A166" t="str">
        <x:v>auto repair shop email marketing</x:v>
      </x:c>
      <x:c r="B166" s="8" t="n">
        <x:v>0</x:v>
      </x:c>
      <x:c r="C166" s="8" t="n">
        <x:v>7</x:v>
      </x:c>
      <x:c r="D166" s="9" t="n">
        <x:v>0</x:v>
      </x:c>
      <x:c r="E166" s="10" t="n">
        <x:v>87.43</x:v>
      </x:c>
      <x:c r="F166" t="str">
        <x:v>Retention / Email</x:v>
      </x:c>
      <x:c r="G166" s="11" t="n">
        <x:f>C166*E166</x:f>
        <x:v>612.01</x:v>
      </x:c>
    </x:row>
    <x:row r="167">
      <x:c r="A167" t="str">
        <x:v>agency marketing</x:v>
      </x:c>
      <x:c r="B167" s="8" t="n">
        <x:v>0</x:v>
      </x:c>
      <x:c r="C167" s="8" t="n">
        <x:v>6</x:v>
      </x:c>
      <x:c r="D167" s="9" t="n">
        <x:v>0</x:v>
      </x:c>
      <x:c r="E167" s="10" t="n">
        <x:v>1</x:v>
      </x:c>
      <x:c r="F167" t="str">
        <x:v>Other</x:v>
      </x:c>
      <x:c r="G167" s="11" t="n">
        <x:f>C167*E167</x:f>
        <x:v>6</x:v>
      </x:c>
    </x:row>
    <x:row r="168">
      <x:c r="A168" t="str">
        <x:v>auto repair marketing companies near me. my location is usa.</x:v>
      </x:c>
      <x:c r="B168" s="8" t="n">
        <x:v>0</x:v>
      </x:c>
      <x:c r="C168" s="8" t="n">
        <x:v>6</x:v>
      </x:c>
      <x:c r="D168" s="9" t="n">
        <x:v>0</x:v>
      </x:c>
      <x:c r="E168" s="10" t="n">
        <x:v>8</x:v>
      </x:c>
      <x:c r="F168" t="str">
        <x:v>Comparison / Companies</x:v>
      </x:c>
      <x:c r="G168" s="11" t="n">
        <x:f>C168*E168</x:f>
        <x:v>48</x:v>
      </x:c>
    </x:row>
    <x:row r="169">
      <x:c r="A169" t="str">
        <x:v>auto repair marketing atlanta</x:v>
      </x:c>
      <x:c r="B169" s="8" t="n">
        <x:v>0</x:v>
      </x:c>
      <x:c r="C169" s="8" t="n">
        <x:v>6</x:v>
      </x:c>
      <x:c r="D169" s="9" t="n">
        <x:v>0</x:v>
      </x:c>
      <x:c r="E169" s="10" t="n">
        <x:v>31.17</x:v>
      </x:c>
      <x:c r="F169" t="str">
        <x:v>Core Marketing</x:v>
      </x:c>
      <x:c r="G169" s="11" t="n">
        <x:f>C169*E169</x:f>
        <x:v>187.02</x:v>
      </x:c>
    </x:row>
    <x:row r="170">
      <x:c r="A170" t="str">
        <x:v>"vip marketing" "greenville"</x:v>
      </x:c>
      <x:c r="B170" s="8" t="n">
        <x:v>0</x:v>
      </x:c>
      <x:c r="C170" s="8" t="n">
        <x:v>6</x:v>
      </x:c>
      <x:c r="D170" s="9" t="n">
        <x:v>0</x:v>
      </x:c>
      <x:c r="E170" s="10" t="n">
        <x:v>33.67</x:v>
      </x:c>
      <x:c r="F170" t="str">
        <x:v>Other</x:v>
      </x:c>
      <x:c r="G170" s="11" t="n">
        <x:f>C170*E170</x:f>
        <x:v>202.02</x:v>
      </x:c>
    </x:row>
    <x:row r="171">
      <x:c r="A171" t="str">
        <x:v>mechanic social media marketing</x:v>
      </x:c>
      <x:c r="B171" s="8" t="n">
        <x:v>0</x:v>
      </x:c>
      <x:c r="C171" s="8" t="n">
        <x:v>6</x:v>
      </x:c>
      <x:c r="D171" s="9" t="n">
        <x:v>0</x:v>
      </x:c>
      <x:c r="E171" s="10" t="n">
        <x:v>37.33</x:v>
      </x:c>
      <x:c r="F171" t="str">
        <x:v>Social Media</x:v>
      </x:c>
      <x:c r="G171" s="11" t="n">
        <x:f>C171*E171</x:f>
        <x:v>223.98</x:v>
      </x:c>
    </x:row>
    <x:row r="172">
      <x:c r="A172" t="str">
        <x:v>tire shop marketing agency</x:v>
      </x:c>
      <x:c r="B172" s="8" t="n">
        <x:v>0</x:v>
      </x:c>
      <x:c r="C172" s="8" t="n">
        <x:v>6</x:v>
      </x:c>
      <x:c r="D172" s="9" t="n">
        <x:v>0</x:v>
      </x:c>
      <x:c r="E172" s="10" t="n">
        <x:v>43.83</x:v>
      </x:c>
      <x:c r="F172" t="str">
        <x:v>Agency / Consultant</x:v>
      </x:c>
      <x:c r="G172" s="11" t="n">
        <x:f>C172*E172</x:f>
        <x:v>262.98</x:v>
      </x:c>
    </x:row>
    <x:row r="173">
      <x:c r="A173" t="str">
        <x:v>automotive service direct mail</x:v>
      </x:c>
      <x:c r="B173" s="8" t="n">
        <x:v>0</x:v>
      </x:c>
      <x:c r="C173" s="8" t="n">
        <x:v>6</x:v>
      </x:c>
      <x:c r="D173" s="9" t="n">
        <x:v>0</x:v>
      </x:c>
      <x:c r="E173" s="10" t="n">
        <x:v>50.67</x:v>
      </x:c>
      <x:c r="F173" t="str">
        <x:v>Direct Mail</x:v>
      </x:c>
      <x:c r="G173" s="11" t="n">
        <x:f>C173*E173</x:f>
        <x:v>304.02</x:v>
      </x:c>
    </x:row>
    <x:row r="174">
      <x:c r="A174" t="str">
        <x:v>automotive direct mail advertising</x:v>
      </x:c>
      <x:c r="B174" s="8" t="n">
        <x:v>0</x:v>
      </x:c>
      <x:c r="C174" s="8" t="n">
        <x:v>6</x:v>
      </x:c>
      <x:c r="D174" s="9" t="n">
        <x:v>0</x:v>
      </x:c>
      <x:c r="E174" s="10" t="n">
        <x:v>81.17</x:v>
      </x:c>
      <x:c r="F174" t="str">
        <x:v>Direct Mail</x:v>
      </x:c>
      <x:c r="G174" s="11" t="n">
        <x:f>C174*E174</x:f>
        <x:v>487.02</x:v>
      </x:c>
    </x:row>
    <x:row r="175">
      <x:c r="A175" t="str">
        <x:v>turnkey marketing firm nj</x:v>
      </x:c>
      <x:c r="B175" s="8" t="n">
        <x:v>0</x:v>
      </x:c>
      <x:c r="C175" s="8" t="n">
        <x:v>5</x:v>
      </x:c>
      <x:c r="D175" s="9" t="n">
        <x:v>0</x:v>
      </x:c>
      <x:c r="E175" s="10" t="n">
        <x:v>4</x:v>
      </x:c>
      <x:c r="F175" t="str">
        <x:v>Branded</x:v>
      </x:c>
      <x:c r="G175" s="11" t="n">
        <x:f>C175*E175</x:f>
        <x:v>20</x:v>
      </x:c>
    </x:row>
    <x:row r="176">
      <x:c r="A176" t="str">
        <x:v>michael gowin</x:v>
      </x:c>
      <x:c r="B176" s="8" t="n">
        <x:v>0</x:v>
      </x:c>
      <x:c r="C176" s="8" t="n">
        <x:v>5</x:v>
      </x:c>
      <x:c r="D176" s="9" t="n">
        <x:v>0</x:v>
      </x:c>
      <x:c r="E176" s="10" t="n">
        <x:v>8.4</x:v>
      </x:c>
      <x:c r="F176" t="str">
        <x:v>Other</x:v>
      </x:c>
      <x:c r="G176" s="11" t="n">
        <x:f>C176*E176</x:f>
        <x:v>42</x:v>
      </x:c>
    </x:row>
    <x:row r="177">
      <x:c r="A177" t="str">
        <x:v>auto repair marketing waynesville nc</x:v>
      </x:c>
      <x:c r="B177" s="8" t="n">
        <x:v>0</x:v>
      </x:c>
      <x:c r="C177" s="8" t="n">
        <x:v>5</x:v>
      </x:c>
      <x:c r="D177" s="9" t="n">
        <x:v>0</x:v>
      </x:c>
      <x:c r="E177" s="10" t="n">
        <x:v>36</x:v>
      </x:c>
      <x:c r="F177" t="str">
        <x:v>Core Marketing</x:v>
      </x:c>
      <x:c r="G177" s="11" t="n">
        <x:f>C177*E177</x:f>
        <x:v>180</x:v>
      </x:c>
    </x:row>
    <x:row r="178">
      <x:c r="A178" t="str">
        <x:v>marketing for auto repair</x:v>
      </x:c>
      <x:c r="B178" s="8" t="n">
        <x:v>0</x:v>
      </x:c>
      <x:c r="C178" s="8" t="n">
        <x:v>5</x:v>
      </x:c>
      <x:c r="D178" s="9" t="n">
        <x:v>0</x:v>
      </x:c>
      <x:c r="E178" s="10" t="n">
        <x:v>43.2</x:v>
      </x:c>
      <x:c r="F178" t="str">
        <x:v>Other</x:v>
      </x:c>
      <x:c r="G178" s="11" t="n">
        <x:f>C178*E178</x:f>
        <x:v>216</x:v>
      </x:c>
    </x:row>
    <x:row r="179">
      <x:c r="A179" t="str">
        <x:v>how to get more customers for auto repair shop</x:v>
      </x:c>
      <x:c r="B179" s="8" t="n">
        <x:v>0</x:v>
      </x:c>
      <x:c r="C179" s="8" t="n">
        <x:v>5</x:v>
      </x:c>
      <x:c r="D179" s="9" t="n">
        <x:v>0</x:v>
      </x:c>
      <x:c r="E179" s="10" t="n">
        <x:v>55.2</x:v>
      </x:c>
      <x:c r="F179" t="str">
        <x:v>Lead Generation / Growth</x:v>
      </x:c>
      <x:c r="G179" s="11" t="n">
        <x:f>C179*E179</x:f>
        <x:v>276</x:v>
      </x:c>
    </x:row>
    <x:row r="180">
      <x:c r="A180" t="str">
        <x:v>mechanic shop marketing</x:v>
      </x:c>
      <x:c r="B180" s="8" t="n">
        <x:v>0</x:v>
      </x:c>
      <x:c r="C180" s="8" t="n">
        <x:v>5</x:v>
      </x:c>
      <x:c r="D180" s="9" t="n">
        <x:v>0</x:v>
      </x:c>
      <x:c r="E180" s="10" t="n">
        <x:v>57</x:v>
      </x:c>
      <x:c r="F180" t="str">
        <x:v>Core Marketing</x:v>
      </x:c>
      <x:c r="G180" s="11" t="n">
        <x:f>C180*E180</x:f>
        <x:v>285</x:v>
      </x:c>
    </x:row>
    <x:row r="181">
      <x:c r="A181" t="str">
        <x:v>digital marketing consultant for auto restoration</x:v>
      </x:c>
      <x:c r="B181" s="8" t="n">
        <x:v>0</x:v>
      </x:c>
      <x:c r="C181" s="8" t="n">
        <x:v>5</x:v>
      </x:c>
      <x:c r="D181" s="9" t="n">
        <x:v>0</x:v>
      </x:c>
      <x:c r="E181" s="10" t="n">
        <x:v>58.4</x:v>
      </x:c>
      <x:c r="F181" t="str">
        <x:v>Agency / Consultant</x:v>
      </x:c>
      <x:c r="G181" s="11" t="n">
        <x:f>C181*E181</x:f>
        <x:v>292</x:v>
      </x:c>
    </x:row>
    <x:row r="182">
      <x:c r="A182" t="str">
        <x:v>car direct mail</x:v>
      </x:c>
      <x:c r="B182" s="8" t="n">
        <x:v>0</x:v>
      </x:c>
      <x:c r="C182" s="8" t="n">
        <x:v>5</x:v>
      </x:c>
      <x:c r="D182" s="9" t="n">
        <x:v>0</x:v>
      </x:c>
      <x:c r="E182" s="10" t="n">
        <x:v>65.6</x:v>
      </x:c>
      <x:c r="F182" t="str">
        <x:v>Direct Mail</x:v>
      </x:c>
      <x:c r="G182" s="11" t="n">
        <x:f>C182*E182</x:f>
        <x:v>328</x:v>
      </x:c>
    </x:row>
    <x:row r="183">
      <x:c r="A183" t="str">
        <x:v>marketing strategy for auto repair shop</x:v>
      </x:c>
      <x:c r="B183" s="8" t="n">
        <x:v>0</x:v>
      </x:c>
      <x:c r="C183" s="8" t="n">
        <x:v>5</x:v>
      </x:c>
      <x:c r="D183" s="9" t="n">
        <x:v>0</x:v>
      </x:c>
      <x:c r="E183" s="10" t="n">
        <x:v>68.8</x:v>
      </x:c>
      <x:c r="F183" t="str">
        <x:v>Marketing Plan / Strategy</x:v>
      </x:c>
      <x:c r="G183" s="11" t="n">
        <x:f>C183*E183</x:f>
        <x:v>344</x:v>
      </x:c>
    </x:row>
    <x:row r="184">
      <x:c r="A184" t="str">
        <x:v>automotive mail marketing</x:v>
      </x:c>
      <x:c r="B184" s="8" t="n">
        <x:v>0</x:v>
      </x:c>
      <x:c r="C184" s="8" t="n">
        <x:v>5</x:v>
      </x:c>
      <x:c r="D184" s="9" t="n">
        <x:v>0</x:v>
      </x:c>
      <x:c r="E184" s="10" t="n">
        <x:v>70.8</x:v>
      </x:c>
      <x:c r="F184" t="str">
        <x:v>Core Marketing</x:v>
      </x:c>
      <x:c r="G184" s="11" t="n">
        <x:f>C184*E184</x:f>
        <x:v>354</x:v>
      </x:c>
    </x:row>
    <x:row r="185">
      <x:c r="A185" t="str">
        <x:v>auto shop lead generation</x:v>
      </x:c>
      <x:c r="B185" s="8" t="n">
        <x:v>0</x:v>
      </x:c>
      <x:c r="C185" s="8" t="n">
        <x:v>5</x:v>
      </x:c>
      <x:c r="D185" s="9" t="n">
        <x:v>0</x:v>
      </x:c>
      <x:c r="E185" s="10" t="n">
        <x:v>76.6</x:v>
      </x:c>
      <x:c r="F185" t="str">
        <x:v>Lead Generation / Growth</x:v>
      </x:c>
      <x:c r="G185" s="11" t="n">
        <x:f>C185*E185</x:f>
        <x:v>383</x:v>
      </x:c>
    </x:row>
    <x:row r="186">
      <x:c r="A186" t="str">
        <x:v>digital marketing reporting overland park</x:v>
      </x:c>
      <x:c r="B186" s="8" t="n">
        <x:v>0</x:v>
      </x:c>
      <x:c r="C186" s="8" t="n">
        <x:v>4</x:v>
      </x:c>
      <x:c r="D186" s="9" t="n">
        <x:v>0</x:v>
      </x:c>
      <x:c r="E186" s="10" t="n">
        <x:v>1</x:v>
      </x:c>
      <x:c r="F186" t="str">
        <x:v>Digital Marketing</x:v>
      </x:c>
      <x:c r="G186" s="11" t="n">
        <x:f>C186*E186</x:f>
        <x:v>4</x:v>
      </x:c>
    </x:row>
    <x:row r="187">
      <x:c r="A187" t="str">
        <x:v>digital marketing reporting overland park ks</x:v>
      </x:c>
      <x:c r="B187" s="8" t="n">
        <x:v>0</x:v>
      </x:c>
      <x:c r="C187" s="8" t="n">
        <x:v>4</x:v>
      </x:c>
      <x:c r="D187" s="9" t="n">
        <x:v>0</x:v>
      </x:c>
      <x:c r="E187" s="10" t="n">
        <x:v>1</x:v>
      </x:c>
      <x:c r="F187" t="str">
        <x:v>Digital Marketing</x:v>
      </x:c>
      <x:c r="G187" s="11" t="n">
        <x:f>C187*E187</x:f>
        <x:v>4</x:v>
      </x:c>
    </x:row>
    <x:row r="188">
      <x:c r="A188" t="str">
        <x:v>turnkey marketing overland park</x:v>
      </x:c>
      <x:c r="B188" s="8" t="n">
        <x:v>0</x:v>
      </x:c>
      <x:c r="C188" s="8" t="n">
        <x:v>4</x:v>
      </x:c>
      <x:c r="D188" s="9" t="n">
        <x:v>0</x:v>
      </x:c>
      <x:c r="E188" s="10" t="n">
        <x:v>1.5</x:v>
      </x:c>
      <x:c r="F188" t="str">
        <x:v>Branded</x:v>
      </x:c>
      <x:c r="G188" s="11" t="n">
        <x:f>C188*E188</x:f>
        <x:v>6</x:v>
      </x:c>
    </x:row>
    <x:row r="189">
      <x:c r="A189" t="str">
        <x:v>best marketing agency for auto repair shops. my location is usa.</x:v>
      </x:c>
      <x:c r="B189" s="8" t="n">
        <x:v>0</x:v>
      </x:c>
      <x:c r="C189" s="8" t="n">
        <x:v>4</x:v>
      </x:c>
      <x:c r="D189" s="9" t="n">
        <x:v>0</x:v>
      </x:c>
      <x:c r="E189" s="10" t="n">
        <x:v>5.5</x:v>
      </x:c>
      <x:c r="F189" t="str">
        <x:v>Comparison / Companies</x:v>
      </x:c>
      <x:c r="G189" s="11" t="n">
        <x:f>C189*E189</x:f>
        <x:v>22</x:v>
      </x:c>
    </x:row>
    <x:row r="190">
      <x:c r="A190" t="str">
        <x:v>restoration shop marketing consulting</x:v>
      </x:c>
      <x:c r="B190" s="8" t="n">
        <x:v>0</x:v>
      </x:c>
      <x:c r="C190" s="8" t="n">
        <x:v>4</x:v>
      </x:c>
      <x:c r="D190" s="9" t="n">
        <x:v>0</x:v>
      </x:c>
      <x:c r="E190" s="10" t="n">
        <x:v>6.75</x:v>
      </x:c>
      <x:c r="F190" t="str">
        <x:v>Other</x:v>
      </x:c>
      <x:c r="G190" s="11" t="n">
        <x:f>C190*E190</x:f>
        <x:v>27</x:v>
      </x:c>
    </x:row>
    <x:row r="191">
      <x:c r="A191" t="str">
        <x:v>marketing overland park</x:v>
      </x:c>
      <x:c r="B191" s="8" t="n">
        <x:v>0</x:v>
      </x:c>
      <x:c r="C191" s="8" t="n">
        <x:v>4</x:v>
      </x:c>
      <x:c r="D191" s="9" t="n">
        <x:v>0</x:v>
      </x:c>
      <x:c r="E191" s="10" t="n">
        <x:v>15.25</x:v>
      </x:c>
      <x:c r="F191" t="str">
        <x:v>Other</x:v>
      </x:c>
      <x:c r="G191" s="11" t="n">
        <x:f>C191*E191</x:f>
        <x:v>61</x:v>
      </x:c>
    </x:row>
    <x:row r="192">
      <x:c r="A192" t="str">
        <x:v>turnkey repair</x:v>
      </x:c>
      <x:c r="B192" s="8" t="n">
        <x:v>0</x:v>
      </x:c>
      <x:c r="C192" s="8" t="n">
        <x:v>4</x:v>
      </x:c>
      <x:c r="D192" s="9" t="n">
        <x:v>0</x:v>
      </x:c>
      <x:c r="E192" s="10" t="n">
        <x:v>17.25</x:v>
      </x:c>
      <x:c r="F192" t="str">
        <x:v>Branded</x:v>
      </x:c>
      <x:c r="G192" s="11" t="n">
        <x:f>C192*E192</x:f>
        <x:v>69</x:v>
      </x:c>
    </x:row>
    <x:row r="193">
      <x:c r="A193" t="str">
        <x:v>auto repair social media agency</x:v>
      </x:c>
      <x:c r="B193" s="8" t="n">
        <x:v>0</x:v>
      </x:c>
      <x:c r="C193" s="8" t="n">
        <x:v>4</x:v>
      </x:c>
      <x:c r="D193" s="9" t="n">
        <x:v>0</x:v>
      </x:c>
      <x:c r="E193" s="10" t="n">
        <x:v>24</x:v>
      </x:c>
      <x:c r="F193" t="str">
        <x:v>Social Media</x:v>
      </x:c>
      <x:c r="G193" s="11" t="n">
        <x:f>C193*E193</x:f>
        <x:v>96</x:v>
      </x:c>
    </x:row>
    <x:row r="194">
      <x:c r="A194" t="str">
        <x:v>automotive marketing services</x:v>
      </x:c>
      <x:c r="B194" s="8" t="n">
        <x:v>0</x:v>
      </x:c>
      <x:c r="C194" s="8" t="n">
        <x:v>4</x:v>
      </x:c>
      <x:c r="D194" s="9" t="n">
        <x:v>0</x:v>
      </x:c>
      <x:c r="E194" s="10" t="n">
        <x:v>28.5</x:v>
      </x:c>
      <x:c r="F194" t="str">
        <x:v>Marketing Services</x:v>
      </x:c>
      <x:c r="G194" s="11" t="n">
        <x:f>C194*E194</x:f>
        <x:v>114</x:v>
      </x:c>
    </x:row>
    <x:row r="195">
      <x:c r="A195" t="str">
        <x:v>marketing playbook multi-location auto repair shops</x:v>
      </x:c>
      <x:c r="B195" s="8" t="n">
        <x:v>0</x:v>
      </x:c>
      <x:c r="C195" s="8" t="n">
        <x:v>4</x:v>
      </x:c>
      <x:c r="D195" s="9" t="n">
        <x:v>0</x:v>
      </x:c>
      <x:c r="E195" s="10" t="n">
        <x:v>28.5</x:v>
      </x:c>
      <x:c r="F195" t="str">
        <x:v>Multi-Location Marketing</x:v>
      </x:c>
      <x:c r="G195" s="11" t="n">
        <x:f>C195*E195</x:f>
        <x:v>114</x:v>
      </x:c>
    </x:row>
    <x:row r="196">
      <x:c r="A196" t="str">
        <x:v>multi-location marketing playbook auto repair</x:v>
      </x:c>
      <x:c r="B196" s="8" t="n">
        <x:v>0</x:v>
      </x:c>
      <x:c r="C196" s="8" t="n">
        <x:v>4</x:v>
      </x:c>
      <x:c r="D196" s="9" t="n">
        <x:v>0</x:v>
      </x:c>
      <x:c r="E196" s="10" t="n">
        <x:v>33.25</x:v>
      </x:c>
      <x:c r="F196" t="str">
        <x:v>Multi-Location Marketing</x:v>
      </x:c>
      <x:c r="G196" s="11" t="n">
        <x:f>C196*E196</x:f>
        <x:v>133</x:v>
      </x:c>
    </x:row>
    <x:row r="197">
      <x:c r="A197" t="str">
        <x:v>automotive marketing consultant</x:v>
      </x:c>
      <x:c r="B197" s="8" t="n">
        <x:v>0</x:v>
      </x:c>
      <x:c r="C197" s="8" t="n">
        <x:v>4</x:v>
      </x:c>
      <x:c r="D197" s="9" t="n">
        <x:v>0</x:v>
      </x:c>
      <x:c r="E197" s="10" t="n">
        <x:v>40.75</x:v>
      </x:c>
      <x:c r="F197" t="str">
        <x:v>Agency / Consultant</x:v>
      </x:c>
      <x:c r="G197" s="11" t="n">
        <x:f>C197*E197</x:f>
        <x:v>163</x:v>
      </x:c>
    </x:row>
    <x:row r="198">
      <x:c r="A198" t="str">
        <x:v>auto repair shop marketing roi</x:v>
      </x:c>
      <x:c r="B198" s="8" t="n">
        <x:v>0</x:v>
      </x:c>
      <x:c r="C198" s="8" t="n">
        <x:v>4</x:v>
      </x:c>
      <x:c r="D198" s="9" t="n">
        <x:v>0</x:v>
      </x:c>
      <x:c r="E198" s="10" t="n">
        <x:v>43</x:v>
      </x:c>
      <x:c r="F198" t="str">
        <x:v>Core Marketing</x:v>
      </x:c>
      <x:c r="G198" s="11" t="n">
        <x:f>C198*E198</x:f>
        <x:v>172</x:v>
      </x:c>
    </x:row>
    <x:row r="199">
      <x:c r="A199" t="str">
        <x:v>auto repair online marketing</x:v>
      </x:c>
      <x:c r="B199" s="8" t="n">
        <x:v>0</x:v>
      </x:c>
      <x:c r="C199" s="8" t="n">
        <x:v>4</x:v>
      </x:c>
      <x:c r="D199" s="9" t="n">
        <x:v>0</x:v>
      </x:c>
      <x:c r="E199" s="10" t="n">
        <x:v>49.5</x:v>
      </x:c>
      <x:c r="F199" t="str">
        <x:v>Core Marketing</x:v>
      </x:c>
      <x:c r="G199" s="11" t="n">
        <x:f>C199*E199</x:f>
        <x:v>198</x:v>
      </x:c>
    </x:row>
    <x:row r="200">
      <x:c r="A200" t="str">
        <x:v>marketing auto repair</x:v>
      </x:c>
      <x:c r="B200" s="8" t="n">
        <x:v>0</x:v>
      </x:c>
      <x:c r="C200" s="8" t="n">
        <x:v>4</x:v>
      </x:c>
      <x:c r="D200" s="9" t="n">
        <x:v>0</x:v>
      </x:c>
      <x:c r="E200" s="10" t="n">
        <x:v>49.75</x:v>
      </x:c>
      <x:c r="F200" t="str">
        <x:v>Other</x:v>
      </x:c>
      <x:c r="G200" s="11" t="n">
        <x:f>C200*E200</x:f>
        <x:v>199</x:v>
      </x:c>
    </x:row>
    <x:row r="201">
      <x:c r="A201" t="str">
        <x:v>advertising auto marketing companies</x:v>
      </x:c>
      <x:c r="B201" s="8" t="n">
        <x:v>0</x:v>
      </x:c>
      <x:c r="C201" s="8" t="n">
        <x:v>4</x:v>
      </x:c>
      <x:c r="D201" s="9" t="n">
        <x:v>0</x:v>
      </x:c>
      <x:c r="E201" s="10" t="n">
        <x:v>52.25</x:v>
      </x:c>
      <x:c r="F201" t="str">
        <x:v>Comparison / Companies</x:v>
      </x:c>
      <x:c r="G201" s="11" t="n">
        <x:f>C201*E201</x:f>
        <x:v>209</x:v>
      </x:c>
    </x:row>
    <x:row r="202">
      <x:c r="A202" t="str">
        <x:v>auto direct mail</x:v>
      </x:c>
      <x:c r="B202" s="8" t="n">
        <x:v>0</x:v>
      </x:c>
      <x:c r="C202" s="8" t="n">
        <x:v>4</x:v>
      </x:c>
      <x:c r="D202" s="9" t="n">
        <x:v>0</x:v>
      </x:c>
      <x:c r="E202" s="10" t="n">
        <x:v>55</x:v>
      </x:c>
      <x:c r="F202" t="str">
        <x:v>Direct Mail</x:v>
      </x:c>
      <x:c r="G202" s="11" t="n">
        <x:f>C202*E202</x:f>
        <x:v>220</x:v>
      </x:c>
    </x:row>
    <x:row r="203">
      <x:c r="A203" t="str">
        <x:v>automotive shop marketing</x:v>
      </x:c>
      <x:c r="B203" s="8" t="n">
        <x:v>0</x:v>
      </x:c>
      <x:c r="C203" s="8" t="n">
        <x:v>4</x:v>
      </x:c>
      <x:c r="D203" s="9" t="n">
        <x:v>0</x:v>
      </x:c>
      <x:c r="E203" s="10" t="n">
        <x:v>55</x:v>
      </x:c>
      <x:c r="F203" t="str">
        <x:v>Core Marketing</x:v>
      </x:c>
      <x:c r="G203" s="11" t="n">
        <x:f>C203*E203</x:f>
        <x:v>220</x:v>
      </x:c>
    </x:row>
    <x:row r="204">
      <x:c r="A204" t="str">
        <x:v>auto repair customer communication</x:v>
      </x:c>
      <x:c r="B204" s="8" t="n">
        <x:v>0</x:v>
      </x:c>
      <x:c r="C204" s="8" t="n">
        <x:v>4</x:v>
      </x:c>
      <x:c r="D204" s="9" t="n">
        <x:v>0</x:v>
      </x:c>
      <x:c r="E204" s="10" t="n">
        <x:v>60.25</x:v>
      </x:c>
      <x:c r="F204" t="str">
        <x:v>Other</x:v>
      </x:c>
      <x:c r="G204" s="11" t="n">
        <x:f>C204*E204</x:f>
        <x:v>241</x:v>
      </x:c>
    </x:row>
    <x:row r="205">
      <x:c r="A205" t="str">
        <x:v>automotive direct mail companies</x:v>
      </x:c>
      <x:c r="B205" s="8" t="n">
        <x:v>0</x:v>
      </x:c>
      <x:c r="C205" s="8" t="n">
        <x:v>4</x:v>
      </x:c>
      <x:c r="D205" s="9" t="n">
        <x:v>0</x:v>
      </x:c>
      <x:c r="E205" s="10" t="n">
        <x:v>68.25</x:v>
      </x:c>
      <x:c r="F205" t="str">
        <x:v>Direct Mail</x:v>
      </x:c>
      <x:c r="G205" s="11" t="n">
        <x:f>C205*E205</x:f>
        <x:v>273</x:v>
      </x:c>
    </x:row>
    <x:row r="206">
      <x:c r="A206" t="str">
        <x:v>how to get more auto repair customers</x:v>
      </x:c>
      <x:c r="B206" s="8" t="n">
        <x:v>0</x:v>
      </x:c>
      <x:c r="C206" s="8" t="n">
        <x:v>4</x:v>
      </x:c>
      <x:c r="D206" s="9" t="n">
        <x:v>0</x:v>
      </x:c>
      <x:c r="E206" s="10" t="n">
        <x:v>68.25</x:v>
      </x:c>
      <x:c r="F206" t="str">
        <x:v>Other</x:v>
      </x:c>
      <x:c r="G206" s="11" t="n">
        <x:f>C206*E206</x:f>
        <x:v>273</x:v>
      </x:c>
    </x:row>
    <x:row r="207">
      <x:c r="A207" t="str">
        <x:v>mechanic shop lead generation</x:v>
      </x:c>
      <x:c r="B207" s="8" t="n">
        <x:v>0</x:v>
      </x:c>
      <x:c r="C207" s="8" t="n">
        <x:v>4</x:v>
      </x:c>
      <x:c r="D207" s="9" t="n">
        <x:v>0</x:v>
      </x:c>
      <x:c r="E207" s="10" t="n">
        <x:v>69.5</x:v>
      </x:c>
      <x:c r="F207" t="str">
        <x:v>Lead Generation / Growth</x:v>
      </x:c>
      <x:c r="G207" s="11" t="n">
        <x:f>C207*E207</x:f>
        <x:v>278</x:v>
      </x:c>
    </x:row>
    <x:row r="208">
      <x:c r="A208" t="str">
        <x:v>automotive direct mail marketing companies</x:v>
      </x:c>
      <x:c r="B208" s="8" t="n">
        <x:v>0</x:v>
      </x:c>
      <x:c r="C208" s="8" t="n">
        <x:v>4</x:v>
      </x:c>
      <x:c r="D208" s="9" t="n">
        <x:v>0</x:v>
      </x:c>
      <x:c r="E208" s="10" t="n">
        <x:v>70</x:v>
      </x:c>
      <x:c r="F208" t="str">
        <x:v>Comparison / Companies</x:v>
      </x:c>
      <x:c r="G208" s="11" t="n">
        <x:f>C208*E208</x:f>
        <x:v>280</x:v>
      </x:c>
    </x:row>
    <x:row r="209">
      <x:c r="A209" t="str">
        <x:v>marketing for auto repair shop</x:v>
      </x:c>
      <x:c r="B209" s="8" t="n">
        <x:v>0</x:v>
      </x:c>
      <x:c r="C209" s="8" t="n">
        <x:v>4</x:v>
      </x:c>
      <x:c r="D209" s="9" t="n">
        <x:v>0</x:v>
      </x:c>
      <x:c r="E209" s="10" t="n">
        <x:v>70.75</x:v>
      </x:c>
      <x:c r="F209" t="str">
        <x:v>Other</x:v>
      </x:c>
      <x:c r="G209" s="11" t="n">
        <x:f>C209*E209</x:f>
        <x:v>283</x:v>
      </x:c>
    </x:row>
    <x:row r="210">
      <x:c r="A210" t="str">
        <x:v>marketing agency lenexa</x:v>
      </x:c>
      <x:c r="B210" s="8" t="n">
        <x:v>0</x:v>
      </x:c>
      <x:c r="C210" s="8" t="n">
        <x:v>3</x:v>
      </x:c>
      <x:c r="D210" s="9" t="n">
        <x:v>0</x:v>
      </x:c>
      <x:c r="E210" s="10" t="n">
        <x:v>1</x:v>
      </x:c>
      <x:c r="F210" t="str">
        <x:v>Agency / Consultant</x:v>
      </x:c>
      <x:c r="G210" s="11" t="n">
        <x:f>C210*E210</x:f>
        <x:v>3</x:v>
      </x:c>
    </x:row>
    <x:row r="211">
      <x:c r="A211" t="str">
        <x:v>turnkry</x:v>
      </x:c>
      <x:c r="B211" s="8" t="n">
        <x:v>0</x:v>
      </x:c>
      <x:c r="C211" s="8" t="n">
        <x:v>3</x:v>
      </x:c>
      <x:c r="D211" s="9" t="n">
        <x:v>0</x:v>
      </x:c>
      <x:c r="E211" s="10" t="n">
        <x:v>5.67</x:v>
      </x:c>
      <x:c r="F211" t="str">
        <x:v>Other</x:v>
      </x:c>
      <x:c r="G211" s="11" t="n">
        <x:f>C211*E211</x:f>
        <x:v>17.009999999999998</x:v>
      </x:c>
    </x:row>
    <x:row r="212">
      <x:c r="A212" t="str">
        <x:v>turn key automotive</x:v>
      </x:c>
      <x:c r="B212" s="8" t="n">
        <x:v>0</x:v>
      </x:c>
      <x:c r="C212" s="8" t="n">
        <x:v>3</x:v>
      </x:c>
      <x:c r="D212" s="9" t="n">
        <x:v>0</x:v>
      </x:c>
      <x:c r="E212" s="10" t="n">
        <x:v>11.67</x:v>
      </x:c>
      <x:c r="F212" t="str">
        <x:v>Other</x:v>
      </x:c>
      <x:c r="G212" s="11" t="n">
        <x:f>C212*E212</x:f>
        <x:v>35.01</x:v>
      </x:c>
    </x:row>
    <x:row r="213">
      <x:c r="A213" t="str">
        <x:v>auto service marketing agency</x:v>
      </x:c>
      <x:c r="B213" s="8" t="n">
        <x:v>0</x:v>
      </x:c>
      <x:c r="C213" s="8" t="n">
        <x:v>3</x:v>
      </x:c>
      <x:c r="D213" s="9" t="n">
        <x:v>0</x:v>
      </x:c>
      <x:c r="E213" s="10" t="n">
        <x:v>17</x:v>
      </x:c>
      <x:c r="F213" t="str">
        <x:v>Agency / Consultant</x:v>
      </x:c>
      <x:c r="G213" s="11" t="n">
        <x:f>C213*E213</x:f>
        <x:v>51</x:v>
      </x:c>
    </x:row>
    <x:row r="214">
      <x:c r="A214" t="str">
        <x:v>turnkey dot</x:v>
      </x:c>
      <x:c r="B214" s="8" t="n">
        <x:v>0</x:v>
      </x:c>
      <x:c r="C214" s="8" t="n">
        <x:v>3</x:v>
      </x:c>
      <x:c r="D214" s="9" t="n">
        <x:v>0</x:v>
      </x:c>
      <x:c r="E214" s="10" t="n">
        <x:v>17.67</x:v>
      </x:c>
      <x:c r="F214" t="str">
        <x:v>Branded</x:v>
      </x:c>
      <x:c r="G214" s="11" t="n">
        <x:f>C214*E214</x:f>
        <x:v>53.010000000000005</x:v>
      </x:c>
    </x:row>
    <x:row r="215">
      <x:c r="A215" t="str">
        <x:v>shop marketing</x:v>
      </x:c>
      <x:c r="B215" s="8" t="n">
        <x:v>0</x:v>
      </x:c>
      <x:c r="C215" s="8" t="n">
        <x:v>3</x:v>
      </x:c>
      <x:c r="D215" s="9" t="n">
        <x:v>0</x:v>
      </x:c>
      <x:c r="E215" s="10" t="n">
        <x:v>20.67</x:v>
      </x:c>
      <x:c r="F215" t="str">
        <x:v>Other</x:v>
      </x:c>
      <x:c r="G215" s="11" t="n">
        <x:f>C215*E215</x:f>
        <x:v>62.010000000000005</x:v>
      </x:c>
    </x:row>
    <x:row r="216">
      <x:c r="A216" t="str">
        <x:v>auto repair social media company</x:v>
      </x:c>
      <x:c r="B216" s="8" t="n">
        <x:v>0</x:v>
      </x:c>
      <x:c r="C216" s="8" t="n">
        <x:v>3</x:v>
      </x:c>
      <x:c r="D216" s="9" t="n">
        <x:v>0</x:v>
      </x:c>
      <x:c r="E216" s="10" t="n">
        <x:v>22</x:v>
      </x:c>
      <x:c r="F216" t="str">
        <x:v>Social Media</x:v>
      </x:c>
      <x:c r="G216" s="11" t="n">
        <x:f>C216*E216</x:f>
        <x:v>66</x:v>
      </x:c>
    </x:row>
    <x:row r="217">
      <x:c r="A217" t="str">
        <x:v>sample marketing plan for auto repair shop</x:v>
      </x:c>
      <x:c r="B217" s="8" t="n">
        <x:v>0</x:v>
      </x:c>
      <x:c r="C217" s="8" t="n">
        <x:v>3</x:v>
      </x:c>
      <x:c r="D217" s="9" t="n">
        <x:v>0</x:v>
      </x:c>
      <x:c r="E217" s="10" t="n">
        <x:v>23.33</x:v>
      </x:c>
      <x:c r="F217" t="str">
        <x:v>Marketing Plan / Strategy</x:v>
      </x:c>
      <x:c r="G217" s="11" t="n">
        <x:f>C217*E217</x:f>
        <x:v>69.99</x:v>
      </x:c>
    </x:row>
    <x:row r="218">
      <x:c r="A218" t="str">
        <x:v>turn key performance</x:v>
      </x:c>
      <x:c r="B218" s="8" t="n">
        <x:v>0</x:v>
      </x:c>
      <x:c r="C218" s="8" t="n">
        <x:v>3</x:v>
      </x:c>
      <x:c r="D218" s="9" t="n">
        <x:v>0</x:v>
      </x:c>
      <x:c r="E218" s="10" t="n">
        <x:v>25.67</x:v>
      </x:c>
      <x:c r="F218" t="str">
        <x:v>Other</x:v>
      </x:c>
      <x:c r="G218" s="11" t="n">
        <x:f>C218*E218</x:f>
        <x:v>77.01</x:v>
      </x:c>
    </x:row>
    <x:row r="219">
      <x:c r="A219" t="str">
        <x:v>best auto repair marketing company</x:v>
      </x:c>
      <x:c r="B219" s="8" t="n">
        <x:v>0</x:v>
      </x:c>
      <x:c r="C219" s="8" t="n">
        <x:v>3</x:v>
      </x:c>
      <x:c r="D219" s="9" t="n">
        <x:v>0</x:v>
      </x:c>
      <x:c r="E219" s="10" t="n">
        <x:v>28</x:v>
      </x:c>
      <x:c r="F219" t="str">
        <x:v>Comparison / Companies</x:v>
      </x:c>
      <x:c r="G219" s="11" t="n">
        <x:f>C219*E219</x:f>
        <x:v>84</x:v>
      </x:c>
    </x:row>
    <x:row r="220">
      <x:c r="A220" t="str">
        <x:v>auto maintenance marketing</x:v>
      </x:c>
      <x:c r="B220" s="8" t="n">
        <x:v>0</x:v>
      </x:c>
      <x:c r="C220" s="8" t="n">
        <x:v>3</x:v>
      </x:c>
      <x:c r="D220" s="9" t="n">
        <x:v>0</x:v>
      </x:c>
      <x:c r="E220" s="10" t="n">
        <x:v>37.33</x:v>
      </x:c>
      <x:c r="F220" t="str">
        <x:v>Other</x:v>
      </x:c>
      <x:c r="G220" s="11" t="n">
        <x:f>C220*E220</x:f>
        <x:v>111.99</x:v>
      </x:c>
    </x:row>
    <x:row r="221">
      <x:c r="A221" t="str">
        <x:v>auto parts marketing</x:v>
      </x:c>
      <x:c r="B221" s="8" t="n">
        <x:v>0</x:v>
      </x:c>
      <x:c r="C221" s="8" t="n">
        <x:v>3</x:v>
      </x:c>
      <x:c r="D221" s="9" t="n">
        <x:v>0</x:v>
      </x:c>
      <x:c r="E221" s="10" t="n">
        <x:v>40.33</x:v>
      </x:c>
      <x:c r="F221" t="str">
        <x:v>Other</x:v>
      </x:c>
      <x:c r="G221" s="11" t="n">
        <x:f>C221*E221</x:f>
        <x:v>120.99</x:v>
      </x:c>
    </x:row>
    <x:row r="222">
      <x:c r="A222" t="str">
        <x:v>mechanic marketing</x:v>
      </x:c>
      <x:c r="B222" s="8" t="n">
        <x:v>0</x:v>
      </x:c>
      <x:c r="C222" s="8" t="n">
        <x:v>3</x:v>
      </x:c>
      <x:c r="D222" s="9" t="n">
        <x:v>0</x:v>
      </x:c>
      <x:c r="E222" s="10" t="n">
        <x:v>41.33</x:v>
      </x:c>
      <x:c r="F222" t="str">
        <x:v>Core Marketing</x:v>
      </x:c>
      <x:c r="G222" s="11" t="n">
        <x:f>C222*E222</x:f>
        <x:v>123.99</x:v>
      </x:c>
    </x:row>
    <x:row r="223">
      <x:c r="A223" t="str">
        <x:v>social media marketing auto repair shops</x:v>
      </x:c>
      <x:c r="B223" s="8" t="n">
        <x:v>0</x:v>
      </x:c>
      <x:c r="C223" s="8" t="n">
        <x:v>3</x:v>
      </x:c>
      <x:c r="D223" s="9" t="n">
        <x:v>0</x:v>
      </x:c>
      <x:c r="E223" s="10" t="n">
        <x:v>42</x:v>
      </x:c>
      <x:c r="F223" t="str">
        <x:v>Social Media</x:v>
      </x:c>
      <x:c r="G223" s="11" t="n">
        <x:f>C223*E223</x:f>
        <x:v>126</x:v>
      </x:c>
    </x:row>
    <x:row r="224">
      <x:c r="A224" t="str">
        <x:v>social media for auto body shops</x:v>
      </x:c>
      <x:c r="B224" s="8" t="n">
        <x:v>0</x:v>
      </x:c>
      <x:c r="C224" s="8" t="n">
        <x:v>3</x:v>
      </x:c>
      <x:c r="D224" s="9" t="n">
        <x:v>0</x:v>
      </x:c>
      <x:c r="E224" s="10" t="n">
        <x:v>47.67</x:v>
      </x:c>
      <x:c r="F224" t="str">
        <x:v>Social Media</x:v>
      </x:c>
      <x:c r="G224" s="11" t="n">
        <x:f>C224*E224</x:f>
        <x:v>143.01</x:v>
      </x:c>
    </x:row>
    <x:row r="225">
      <x:c r="A225" t="str">
        <x:v>turnkey fleet branding</x:v>
      </x:c>
      <x:c r="B225" s="8" t="n">
        <x:v>0</x:v>
      </x:c>
      <x:c r="C225" s="8" t="n">
        <x:v>3</x:v>
      </x:c>
      <x:c r="D225" s="9" t="n">
        <x:v>0</x:v>
      </x:c>
      <x:c r="E225" s="10" t="n">
        <x:v>50</x:v>
      </x:c>
      <x:c r="F225" t="str">
        <x:v>Branded</x:v>
      </x:c>
      <x:c r="G225" s="11" t="n">
        <x:f>C225*E225</x:f>
        <x:v>150</x:v>
      </x:c>
    </x:row>
    <x:row r="226">
      <x:c r="A226" t="str">
        <x:v>marketing for car repair shops</x:v>
      </x:c>
      <x:c r="B226" s="8" t="n">
        <x:v>0</x:v>
      </x:c>
      <x:c r="C226" s="8" t="n">
        <x:v>3</x:v>
      </x:c>
      <x:c r="D226" s="9" t="n">
        <x:v>0</x:v>
      </x:c>
      <x:c r="E226" s="10" t="n">
        <x:v>57.33</x:v>
      </x:c>
      <x:c r="F226" t="str">
        <x:v>Other</x:v>
      </x:c>
      <x:c r="G226" s="11" t="n">
        <x:f>C226*E226</x:f>
        <x:v>171.99</x:v>
      </x:c>
    </x:row>
    <x:row r="227">
      <x:c r="A227" t="str">
        <x:v>car repair shop marketing</x:v>
      </x:c>
      <x:c r="B227" s="8" t="n">
        <x:v>0</x:v>
      </x:c>
      <x:c r="C227" s="8" t="n">
        <x:v>3</x:v>
      </x:c>
      <x:c r="D227" s="9" t="n">
        <x:v>0</x:v>
      </x:c>
      <x:c r="E227" s="10" t="n">
        <x:v>59</x:v>
      </x:c>
      <x:c r="F227" t="str">
        <x:v>Other</x:v>
      </x:c>
      <x:c r="G227" s="11" t="n">
        <x:f>C227*E227</x:f>
        <x:v>177</x:v>
      </x:c>
    </x:row>
    <x:row r="228">
      <x:c r="A228" t="str">
        <x:v>direct mail automotive</x:v>
      </x:c>
      <x:c r="B228" s="8" t="n">
        <x:v>0</x:v>
      </x:c>
      <x:c r="C228" s="8" t="n">
        <x:v>3</x:v>
      </x:c>
      <x:c r="D228" s="9" t="n">
        <x:v>0</x:v>
      </x:c>
      <x:c r="E228" s="10" t="n">
        <x:v>62.67</x:v>
      </x:c>
      <x:c r="F228" t="str">
        <x:v>Direct Mail</x:v>
      </x:c>
      <x:c r="G228" s="11" t="n">
        <x:f>C228*E228</x:f>
        <x:v>188.01</x:v>
      </x:c>
    </x:row>
    <x:row r="229">
      <x:c r="A229" t="str">
        <x:v>auto broker marketing agency for small business</x:v>
      </x:c>
      <x:c r="B229" s="8" t="n">
        <x:v>0</x:v>
      </x:c>
      <x:c r="C229" s="8" t="n">
        <x:v>3</x:v>
      </x:c>
      <x:c r="D229" s="9" t="n">
        <x:v>0</x:v>
      </x:c>
      <x:c r="E229" s="10" t="n">
        <x:v>67</x:v>
      </x:c>
      <x:c r="F229" t="str">
        <x:v>Agency / Consultant</x:v>
      </x:c>
      <x:c r="G229" s="11" t="n">
        <x:f>C229*E229</x:f>
        <x:v>201</x:v>
      </x:c>
    </x:row>
    <x:row r="230">
      <x:c r="A230" t="str">
        <x:v>small business marketing kansas city</x:v>
      </x:c>
      <x:c r="B230" s="8" t="n">
        <x:v>0</x:v>
      </x:c>
      <x:c r="C230" s="8" t="n">
        <x:v>3</x:v>
      </x:c>
      <x:c r="D230" s="9" t="n">
        <x:v>0</x:v>
      </x:c>
      <x:c r="E230" s="10" t="n">
        <x:v>71.33</x:v>
      </x:c>
      <x:c r="F230" t="str">
        <x:v>Other</x:v>
      </x:c>
      <x:c r="G230" s="11" t="n">
        <x:f>C230*E230</x:f>
        <x:v>213.99</x:v>
      </x:c>
    </x:row>
    <x:row r="231">
      <x:c r="A231" t="str">
        <x:v>lead generation for auto repair shops</x:v>
      </x:c>
      <x:c r="B231" s="8" t="n">
        <x:v>0</x:v>
      </x:c>
      <x:c r="C231" s="8" t="n">
        <x:v>3</x:v>
      </x:c>
      <x:c r="D231" s="9" t="n">
        <x:v>0</x:v>
      </x:c>
      <x:c r="E231" s="10" t="n">
        <x:v>76.67</x:v>
      </x:c>
      <x:c r="F231" t="str">
        <x:v>Lead Generation / Growth</x:v>
      </x:c>
      <x:c r="G231" s="11" t="n">
        <x:f>C231*E231</x:f>
        <x:v>230.01</x:v>
      </x:c>
    </x:row>
    <x:row r="232">
      <x:c r="A232" t="str">
        <x:v>automotive paid search agency fort myers</x:v>
      </x:c>
      <x:c r="B232" s="8" t="n">
        <x:v>0</x:v>
      </x:c>
      <x:c r="C232" s="8" t="n">
        <x:v>3</x:v>
      </x:c>
      <x:c r="D232" s="9" t="n">
        <x:v>0</x:v>
      </x:c>
      <x:c r="E232" s="10" t="n">
        <x:v>80.67</x:v>
      </x:c>
      <x:c r="F232" t="str">
        <x:v>Other</x:v>
      </x:c>
      <x:c r="G232" s="11" t="n">
        <x:f>C232*E232</x:f>
        <x:v>242.01</x:v>
      </x:c>
    </x:row>
    <x:row r="233">
      <x:c r="A233" t="str">
        <x:v>marketing for contractors</x:v>
      </x:c>
      <x:c r="B233" s="8" t="n">
        <x:v>0</x:v>
      </x:c>
      <x:c r="C233" s="8" t="n">
        <x:v>2</x:v>
      </x:c>
      <x:c r="D233" s="9" t="n">
        <x:v>0</x:v>
      </x:c>
      <x:c r="E233" s="10" t="n">
        <x:v>1</x:v>
      </x:c>
      <x:c r="F233" t="str">
        <x:v>Other</x:v>
      </x:c>
      <x:c r="G233" s="11" t="n">
        <x:f>C233*E233</x:f>
        <x:v>2</x:v>
      </x:c>
    </x:row>
    <x:row r="234">
      <x:c r="A234" t="str">
        <x:v>marketing specialists</x:v>
      </x:c>
      <x:c r="B234" s="8" t="n">
        <x:v>0</x:v>
      </x:c>
      <x:c r="C234" s="8" t="n">
        <x:v>2</x:v>
      </x:c>
      <x:c r="D234" s="9" t="n">
        <x:v>0</x:v>
      </x:c>
      <x:c r="E234" s="10" t="n">
        <x:v>1</x:v>
      </x:c>
      <x:c r="F234" t="str">
        <x:v>Other</x:v>
      </x:c>
      <x:c r="G234" s="11" t="n">
        <x:f>C234*E234</x:f>
        <x:v>2</x:v>
      </x:c>
    </x:row>
    <x:row r="235">
      <x:c r="A235" t="str">
        <x:v>tuenkey</x:v>
      </x:c>
      <x:c r="B235" s="8" t="n">
        <x:v>0</x:v>
      </x:c>
      <x:c r="C235" s="8" t="n">
        <x:v>2</x:v>
      </x:c>
      <x:c r="D235" s="9" t="n">
        <x:v>0</x:v>
      </x:c>
      <x:c r="E235" s="10" t="n">
        <x:v>2.5</x:v>
      </x:c>
      <x:c r="F235" t="str">
        <x:v>Other</x:v>
      </x:c>
      <x:c r="G235" s="11" t="n">
        <x:f>C235*E235</x:f>
        <x:v>5</x:v>
      </x:c>
    </x:row>
    <x:row r="236">
      <x:c r="A236" t="str">
        <x:v>automotive marketing</x:v>
      </x:c>
      <x:c r="B236" s="8" t="n">
        <x:v>0</x:v>
      </x:c>
      <x:c r="C236" s="8" t="n">
        <x:v>2</x:v>
      </x:c>
      <x:c r="D236" s="9" t="n">
        <x:v>0</x:v>
      </x:c>
      <x:c r="E236" s="10" t="n">
        <x:v>3.5</x:v>
      </x:c>
      <x:c r="F236" t="str">
        <x:v>Core Marketing</x:v>
      </x:c>
      <x:c r="G236" s="11" t="n">
        <x:f>C236*E236</x:f>
        <x:v>7</x:v>
      </x:c>
    </x:row>
    <x:row r="237">
      <x:c r="A237" t="str">
        <x:v>auto repair marketing agency. my location is usa.</x:v>
      </x:c>
      <x:c r="B237" s="8" t="n">
        <x:v>0</x:v>
      </x:c>
      <x:c r="C237" s="8" t="n">
        <x:v>2</x:v>
      </x:c>
      <x:c r="D237" s="9" t="n">
        <x:v>0</x:v>
      </x:c>
      <x:c r="E237" s="10" t="n">
        <x:v>7</x:v>
      </x:c>
      <x:c r="F237" t="str">
        <x:v>Agency / Consultant</x:v>
      </x:c>
      <x:c r="G237" s="11" t="n">
        <x:f>C237*E237</x:f>
        <x:v>14</x:v>
      </x:c>
    </x:row>
    <x:row r="238">
      <x:c r="A238" t="str">
        <x:v>turnkey autos</x:v>
      </x:c>
      <x:c r="B238" s="8" t="n">
        <x:v>0</x:v>
      </x:c>
      <x:c r="C238" s="8" t="n">
        <x:v>2</x:v>
      </x:c>
      <x:c r="D238" s="9" t="n">
        <x:v>0</x:v>
      </x:c>
      <x:c r="E238" s="10" t="n">
        <x:v>10.5</x:v>
      </x:c>
      <x:c r="F238" t="str">
        <x:v>Branded</x:v>
      </x:c>
      <x:c r="G238" s="11" t="n">
        <x:f>C238*E238</x:f>
        <x:v>21</x:v>
      </x:c>
    </x:row>
    <x:row r="239">
      <x:c r="A239" t="str">
        <x:v>turnkey car</x:v>
      </x:c>
      <x:c r="B239" s="8" t="n">
        <x:v>0</x:v>
      </x:c>
      <x:c r="C239" s="8" t="n">
        <x:v>2</x:v>
      </x:c>
      <x:c r="D239" s="9" t="n">
        <x:v>0</x:v>
      </x:c>
      <x:c r="E239" s="10" t="n">
        <x:v>11.5</x:v>
      </x:c>
      <x:c r="F239" t="str">
        <x:v>Branded</x:v>
      </x:c>
      <x:c r="G239" s="11" t="n">
        <x:f>C239*E239</x:f>
        <x:v>23</x:v>
      </x:c>
    </x:row>
    <x:row r="240">
      <x:c r="A240" t="str">
        <x:v>automotive marketing services. my location is usa.</x:v>
      </x:c>
      <x:c r="B240" s="8" t="n">
        <x:v>0</x:v>
      </x:c>
      <x:c r="C240" s="8" t="n">
        <x:v>2</x:v>
      </x:c>
      <x:c r="D240" s="9" t="n">
        <x:v>0</x:v>
      </x:c>
      <x:c r="E240" s="10" t="n">
        <x:v>12</x:v>
      </x:c>
      <x:c r="F240" t="str">
        <x:v>Marketing Services</x:v>
      </x:c>
      <x:c r="G240" s="11" t="n">
        <x:f>C240*E240</x:f>
        <x:v>24</x:v>
      </x:c>
    </x:row>
    <x:row r="241">
      <x:c r="A241" t="str">
        <x:v>top marketing consultants for auto protection businesses</x:v>
      </x:c>
      <x:c r="B241" s="8" t="n">
        <x:v>0</x:v>
      </x:c>
      <x:c r="C241" s="8" t="n">
        <x:v>2</x:v>
      </x:c>
      <x:c r="D241" s="9" t="n">
        <x:v>0</x:v>
      </x:c>
      <x:c r="E241" s="10" t="n">
        <x:v>12</x:v>
      </x:c>
      <x:c r="F241" t="str">
        <x:v>Agency / Consultant</x:v>
      </x:c>
      <x:c r="G241" s="11" t="n">
        <x:f>C241*E241</x:f>
        <x:v>24</x:v>
      </x:c>
    </x:row>
    <x:row r="242">
      <x:c r="A242" t="str">
        <x:v>where can i find tailored marketing assistance for a small car wash 
business?</x:v>
      </x:c>
      <x:c r="B242" s="8" t="n">
        <x:v>0</x:v>
      </x:c>
      <x:c r="C242" s="8" t="n">
        <x:v>2</x:v>
      </x:c>
      <x:c r="D242" s="9" t="n">
        <x:v>0</x:v>
      </x:c>
      <x:c r="E242" s="10" t="n">
        <x:v>12</x:v>
      </x:c>
      <x:c r="F242" t="str">
        <x:v>Other</x:v>
      </x:c>
      <x:c r="G242" s="11" t="n">
        <x:f>C242*E242</x:f>
        <x:v>24</x:v>
      </x:c>
    </x:row>
    <x:row r="243">
      <x:c r="A243" t="str">
        <x:v>auto repair social media services</x:v>
      </x:c>
      <x:c r="B243" s="8" t="n">
        <x:v>0</x:v>
      </x:c>
      <x:c r="C243" s="8" t="n">
        <x:v>2</x:v>
      </x:c>
      <x:c r="D243" s="9" t="n">
        <x:v>0</x:v>
      </x:c>
      <x:c r="E243" s="10" t="n">
        <x:v>19</x:v>
      </x:c>
      <x:c r="F243" t="str">
        <x:v>Social Media</x:v>
      </x:c>
      <x:c r="G243" s="11" t="n">
        <x:f>C243*E243</x:f>
        <x:v>38</x:v>
      </x:c>
    </x:row>
    <x:row r="244">
      <x:c r="A244" t="str">
        <x:v>auto repair social media experts</x:v>
      </x:c>
      <x:c r="B244" s="8" t="n">
        <x:v>0</x:v>
      </x:c>
      <x:c r="C244" s="8" t="n">
        <x:v>2</x:v>
      </x:c>
      <x:c r="D244" s="9" t="n">
        <x:v>0</x:v>
      </x:c>
      <x:c r="E244" s="10" t="n">
        <x:v>20</x:v>
      </x:c>
      <x:c r="F244" t="str">
        <x:v>Social Media</x:v>
      </x:c>
      <x:c r="G244" s="11" t="n">
        <x:f>C244*E244</x:f>
        <x:v>40</x:v>
      </x:c>
    </x:row>
    <x:row r="245">
      <x:c r="A245" t="str">
        <x:v>auto marketing</x:v>
      </x:c>
      <x:c r="B245" s="8" t="n">
        <x:v>0</x:v>
      </x:c>
      <x:c r="C245" s="8" t="n">
        <x:v>2</x:v>
      </x:c>
      <x:c r="D245" s="9" t="n">
        <x:v>0</x:v>
      </x:c>
      <x:c r="E245" s="10" t="n">
        <x:v>20.5</x:v>
      </x:c>
      <x:c r="F245" t="str">
        <x:v>Other</x:v>
      </x:c>
      <x:c r="G245" s="11" t="n">
        <x:f>C245*E245</x:f>
        <x:v>41</x:v>
      </x:c>
    </x:row>
    <x:row r="246">
      <x:c r="A246" t="str">
        <x:v>auto marketing partners</x:v>
      </x:c>
      <x:c r="B246" s="8" t="n">
        <x:v>0</x:v>
      </x:c>
      <x:c r="C246" s="8" t="n">
        <x:v>2</x:v>
      </x:c>
      <x:c r="D246" s="9" t="n">
        <x:v>0</x:v>
      </x:c>
      <x:c r="E246" s="10" t="n">
        <x:v>24.5</x:v>
      </x:c>
      <x:c r="F246" t="str">
        <x:v>Other</x:v>
      </x:c>
      <x:c r="G246" s="11" t="n">
        <x:f>C246*E246</x:f>
        <x:v>49</x:v>
      </x:c>
    </x:row>
    <x:row r="247">
      <x:c r="A247" t="str">
        <x:v>turnkey performance</x:v>
      </x:c>
      <x:c r="B247" s="8" t="n">
        <x:v>0</x:v>
      </x:c>
      <x:c r="C247" s="8" t="n">
        <x:v>2</x:v>
      </x:c>
      <x:c r="D247" s="9" t="n">
        <x:v>0</x:v>
      </x:c>
      <x:c r="E247" s="10" t="n">
        <x:v>31</x:v>
      </x:c>
      <x:c r="F247" t="str">
        <x:v>Branded</x:v>
      </x:c>
      <x:c r="G247" s="11" t="n">
        <x:f>C247*E247</x:f>
        <x:v>62</x:v>
      </x:c>
    </x:row>
    <x:row r="248">
      <x:c r="A248" t="str">
        <x:v>mechanic social media management</x:v>
      </x:c>
      <x:c r="B248" s="8" t="n">
        <x:v>0</x:v>
      </x:c>
      <x:c r="C248" s="8" t="n">
        <x:v>2</x:v>
      </x:c>
      <x:c r="D248" s="9" t="n">
        <x:v>0</x:v>
      </x:c>
      <x:c r="E248" s="10" t="n">
        <x:v>34</x:v>
      </x:c>
      <x:c r="F248" t="str">
        <x:v>Social Media</x:v>
      </x:c>
      <x:c r="G248" s="11" t="n">
        <x:f>C248*E248</x:f>
        <x:v>68</x:v>
      </x:c>
    </x:row>
    <x:row r="249">
      <x:c r="A249" t="str">
        <x:v>auto marketing agency near me</x:v>
      </x:c>
      <x:c r="B249" s="8" t="n">
        <x:v>0</x:v>
      </x:c>
      <x:c r="C249" s="8" t="n">
        <x:v>2</x:v>
      </x:c>
      <x:c r="D249" s="9" t="n">
        <x:v>0</x:v>
      </x:c>
      <x:c r="E249" s="10" t="n">
        <x:v>35.5</x:v>
      </x:c>
      <x:c r="F249" t="str">
        <x:v>Agency / Consultant</x:v>
      </x:c>
      <x:c r="G249" s="11" t="n">
        <x:f>C249*E249</x:f>
        <x:v>71</x:v>
      </x:c>
    </x:row>
    <x:row r="250">
      <x:c r="A250" t="str">
        <x:v>digital marketing consultant for car shops</x:v>
      </x:c>
      <x:c r="B250" s="8" t="n">
        <x:v>0</x:v>
      </x:c>
      <x:c r="C250" s="8" t="n">
        <x:v>2</x:v>
      </x:c>
      <x:c r="D250" s="9" t="n">
        <x:v>0</x:v>
      </x:c>
      <x:c r="E250" s="10" t="n">
        <x:v>36</x:v>
      </x:c>
      <x:c r="F250" t="str">
        <x:v>Agency / Consultant</x:v>
      </x:c>
      <x:c r="G250" s="11" t="n">
        <x:f>C250*E250</x:f>
        <x:v>72</x:v>
      </x:c>
    </x:row>
    <x:row r="251">
      <x:c r="A251" t="str">
        <x:v>turnkey commercial</x:v>
      </x:c>
      <x:c r="B251" s="8" t="n">
        <x:v>0</x:v>
      </x:c>
      <x:c r="C251" s="8" t="n">
        <x:v>2</x:v>
      </x:c>
      <x:c r="D251" s="9" t="n">
        <x:v>0</x:v>
      </x:c>
      <x:c r="E251" s="10" t="n">
        <x:v>39.5</x:v>
      </x:c>
      <x:c r="F251" t="str">
        <x:v>Branded</x:v>
      </x:c>
      <x:c r="G251" s="11" t="n">
        <x:f>C251*E251</x:f>
        <x:v>79</x:v>
      </x:c>
    </x:row>
    <x:row r="252">
      <x:c r="A252" t="str">
        <x:v>marketing agency kansas city</x:v>
      </x:c>
      <x:c r="B252" s="8" t="n">
        <x:v>0</x:v>
      </x:c>
      <x:c r="C252" s="8" t="n">
        <x:v>2</x:v>
      </x:c>
      <x:c r="D252" s="9" t="n">
        <x:v>0</x:v>
      </x:c>
      <x:c r="E252" s="10" t="n">
        <x:v>41</x:v>
      </x:c>
      <x:c r="F252" t="str">
        <x:v>Agency / Consultant</x:v>
      </x:c>
      <x:c r="G252" s="11" t="n">
        <x:f>C252*E252</x:f>
        <x:v>82</x:v>
      </x:c>
    </x:row>
    <x:row r="253">
      <x:c r="A253" t="str">
        <x:v>small business marketing company</x:v>
      </x:c>
      <x:c r="B253" s="8" t="n">
        <x:v>0</x:v>
      </x:c>
      <x:c r="C253" s="8" t="n">
        <x:v>2</x:v>
      </x:c>
      <x:c r="D253" s="9" t="n">
        <x:v>0</x:v>
      </x:c>
      <x:c r="E253" s="10" t="n">
        <x:v>41</x:v>
      </x:c>
      <x:c r="F253" t="str">
        <x:v>Agency / Consultant</x:v>
      </x:c>
      <x:c r="G253" s="11" t="n">
        <x:f>C253*E253</x:f>
        <x:v>82</x:v>
      </x:c>
    </x:row>
    <x:row r="254">
      <x:c r="A254" t="str">
        <x:v>automotive marketing specialists</x:v>
      </x:c>
      <x:c r="B254" s="8" t="n">
        <x:v>0</x:v>
      </x:c>
      <x:c r="C254" s="8" t="n">
        <x:v>2</x:v>
      </x:c>
      <x:c r="D254" s="9" t="n">
        <x:v>0</x:v>
      </x:c>
      <x:c r="E254" s="10" t="n">
        <x:v>41.5</x:v>
      </x:c>
      <x:c r="F254" t="str">
        <x:v>Core Marketing</x:v>
      </x:c>
      <x:c r="G254" s="11" t="n">
        <x:f>C254*E254</x:f>
        <x:v>83</x:v>
      </x:c>
    </x:row>
    <x:row r="255">
      <x:c r="A255" t="str">
        <x:v>auto service mailings</x:v>
      </x:c>
      <x:c r="B255" s="8" t="n">
        <x:v>0</x:v>
      </x:c>
      <x:c r="C255" s="8" t="n">
        <x:v>2</x:v>
      </x:c>
      <x:c r="D255" s="9" t="n">
        <x:v>0</x:v>
      </x:c>
      <x:c r="E255" s="10" t="n">
        <x:v>43</x:v>
      </x:c>
      <x:c r="F255" t="str">
        <x:v>Other</x:v>
      </x:c>
      <x:c r="G255" s="11" t="n">
        <x:f>C255*E255</x:f>
        <x:v>86</x:v>
      </x:c>
    </x:row>
    <x:row r="256">
      <x:c r="A256" t="str">
        <x:v>social media content for auto repair shops</x:v>
      </x:c>
      <x:c r="B256" s="8" t="n">
        <x:v>0</x:v>
      </x:c>
      <x:c r="C256" s="8" t="n">
        <x:v>2</x:v>
      </x:c>
      <x:c r="D256" s="9" t="n">
        <x:v>0</x:v>
      </x:c>
      <x:c r="E256" s="10" t="n">
        <x:v>45.5</x:v>
      </x:c>
      <x:c r="F256" t="str">
        <x:v>Social Media</x:v>
      </x:c>
      <x:c r="G256" s="11" t="n">
        <x:f>C256*E256</x:f>
        <x:v>91</x:v>
      </x:c>
    </x:row>
    <x:row r="257">
      <x:c r="A257" t="str">
        <x:v>auto repair shop sustainable marketing</x:v>
      </x:c>
      <x:c r="B257" s="8" t="n">
        <x:v>0</x:v>
      </x:c>
      <x:c r="C257" s="8" t="n">
        <x:v>2</x:v>
      </x:c>
      <x:c r="D257" s="9" t="n">
        <x:v>0</x:v>
      </x:c>
      <x:c r="E257" s="10" t="n">
        <x:v>48</x:v>
      </x:c>
      <x:c r="F257" t="str">
        <x:v>Core Marketing</x:v>
      </x:c>
      <x:c r="G257" s="11" t="n">
        <x:f>C257*E257</x:f>
        <x:v>96</x:v>
      </x:c>
    </x:row>
    <x:row r="258">
      <x:c r="A258" t="str">
        <x:v>garage business marketing</x:v>
      </x:c>
      <x:c r="B258" s="8" t="n">
        <x:v>0</x:v>
      </x:c>
      <x:c r="C258" s="8" t="n">
        <x:v>2</x:v>
      </x:c>
      <x:c r="D258" s="9" t="n">
        <x:v>0</x:v>
      </x:c>
      <x:c r="E258" s="10" t="n">
        <x:v>51.5</x:v>
      </x:c>
      <x:c r="F258" t="str">
        <x:v>Other</x:v>
      </x:c>
      <x:c r="G258" s="11" t="n">
        <x:f>C258*E258</x:f>
        <x:v>103</x:v>
      </x:c>
    </x:row>
    <x:row r="259">
      <x:c r="A259" t="str">
        <x:v>auto service digital marketing</x:v>
      </x:c>
      <x:c r="B259" s="8" t="n">
        <x:v>0</x:v>
      </x:c>
      <x:c r="C259" s="8" t="n">
        <x:v>2</x:v>
      </x:c>
      <x:c r="D259" s="9" t="n">
        <x:v>0</x:v>
      </x:c>
      <x:c r="E259" s="10" t="n">
        <x:v>52.5</x:v>
      </x:c>
      <x:c r="F259" t="str">
        <x:v>Digital Marketing</x:v>
      </x:c>
      <x:c r="G259" s="11" t="n">
        <x:f>C259*E259</x:f>
        <x:v>105</x:v>
      </x:c>
    </x:row>
    <x:row r="260">
      <x:c r="A260" t="str">
        <x:v>auto restoration shop marketing</x:v>
      </x:c>
      <x:c r="B260" s="8" t="n">
        <x:v>0</x:v>
      </x:c>
      <x:c r="C260" s="8" t="n">
        <x:v>2</x:v>
      </x:c>
      <x:c r="D260" s="9" t="n">
        <x:v>0</x:v>
      </x:c>
      <x:c r="E260" s="10" t="n">
        <x:v>54</x:v>
      </x:c>
      <x:c r="F260" t="str">
        <x:v>Other</x:v>
      </x:c>
      <x:c r="G260" s="11" t="n">
        <x:f>C260*E260</x:f>
        <x:v>108</x:v>
      </x:c>
    </x:row>
    <x:row r="261">
      <x:c r="A261" t="str">
        <x:v>automotive repair digital marketing</x:v>
      </x:c>
      <x:c r="B261" s="8" t="n">
        <x:v>0</x:v>
      </x:c>
      <x:c r="C261" s="8" t="n">
        <x:v>2</x:v>
      </x:c>
      <x:c r="D261" s="9" t="n">
        <x:v>0</x:v>
      </x:c>
      <x:c r="E261" s="10" t="n">
        <x:v>54</x:v>
      </x:c>
      <x:c r="F261" t="str">
        <x:v>Digital Marketing</x:v>
      </x:c>
      <x:c r="G261" s="11" t="n">
        <x:f>C261*E261</x:f>
        <x:v>108</x:v>
      </x:c>
    </x:row>
    <x:row r="262">
      <x:c r="A262" t="str">
        <x:v>auto repair shop online marketing</x:v>
      </x:c>
      <x:c r="B262" s="8" t="n">
        <x:v>0</x:v>
      </x:c>
      <x:c r="C262" s="8" t="n">
        <x:v>2</x:v>
      </x:c>
      <x:c r="D262" s="9" t="n">
        <x:v>0</x:v>
      </x:c>
      <x:c r="E262" s="10" t="n">
        <x:v>54.5</x:v>
      </x:c>
      <x:c r="F262" t="str">
        <x:v>Core Marketing</x:v>
      </x:c>
      <x:c r="G262" s="11" t="n">
        <x:f>C262*E262</x:f>
        <x:v>109</x:v>
      </x:c>
    </x:row>
    <x:row r="263">
      <x:c r="A263" t="str">
        <x:v>how to market an auto repair shop</x:v>
      </x:c>
      <x:c r="B263" s="8" t="n">
        <x:v>0</x:v>
      </x:c>
      <x:c r="C263" s="8" t="n">
        <x:v>2</x:v>
      </x:c>
      <x:c r="D263" s="9" t="n">
        <x:v>0</x:v>
      </x:c>
      <x:c r="E263" s="10" t="n">
        <x:v>55</x:v>
      </x:c>
      <x:c r="F263" t="str">
        <x:v>Marketing Plan / Strategy</x:v>
      </x:c>
      <x:c r="G263" s="11" t="n">
        <x:f>C263*E263</x:f>
        <x:v>110</x:v>
      </x:c>
    </x:row>
    <x:row r="264">
      <x:c r="A264" t="str">
        <x:v>direct mail auto</x:v>
      </x:c>
      <x:c r="B264" s="8" t="n">
        <x:v>0</x:v>
      </x:c>
      <x:c r="C264" s="8" t="n">
        <x:v>2</x:v>
      </x:c>
      <x:c r="D264" s="9" t="n">
        <x:v>0</x:v>
      </x:c>
      <x:c r="E264" s="10" t="n">
        <x:v>56</x:v>
      </x:c>
      <x:c r="F264" t="str">
        <x:v>Direct Mail</x:v>
      </x:c>
      <x:c r="G264" s="11" t="n">
        <x:f>C264*E264</x:f>
        <x:v>112</x:v>
      </x:c>
    </x:row>
    <x:row r="265">
      <x:c r="A265" t="str">
        <x:v>auto repair b2b lead generation</x:v>
      </x:c>
      <x:c r="B265" s="8" t="n">
        <x:v>0</x:v>
      </x:c>
      <x:c r="C265" s="8" t="n">
        <x:v>2</x:v>
      </x:c>
      <x:c r="D265" s="9" t="n">
        <x:v>0</x:v>
      </x:c>
      <x:c r="E265" s="10" t="n">
        <x:v>56.5</x:v>
      </x:c>
      <x:c r="F265" t="str">
        <x:v>Lead Generation / Growth</x:v>
      </x:c>
      <x:c r="G265" s="11" t="n">
        <x:f>C265*E265</x:f>
        <x:v>113</x:v>
      </x:c>
    </x:row>
    <x:row r="266">
      <x:c r="A266" t="str">
        <x:v>marketing for car repair</x:v>
      </x:c>
      <x:c r="B266" s="8" t="n">
        <x:v>0</x:v>
      </x:c>
      <x:c r="C266" s="8" t="n">
        <x:v>2</x:v>
      </x:c>
      <x:c r="D266" s="9" t="n">
        <x:v>0</x:v>
      </x:c>
      <x:c r="E266" s="10" t="n">
        <x:v>59</x:v>
      </x:c>
      <x:c r="F266" t="str">
        <x:v>Other</x:v>
      </x:c>
      <x:c r="G266" s="11" t="n">
        <x:f>C266*E266</x:f>
        <x:v>118</x:v>
      </x:c>
    </x:row>
    <x:row r="267">
      <x:c r="A267" t="str">
        <x:v>auto repair google ads management agency</x:v>
      </x:c>
      <x:c r="B267" s="8" t="n">
        <x:v>0</x:v>
      </x:c>
      <x:c r="C267" s="8" t="n">
        <x:v>2</x:v>
      </x:c>
      <x:c r="D267" s="9" t="n">
        <x:v>0</x:v>
      </x:c>
      <x:c r="E267" s="10" t="n">
        <x:v>59.5</x:v>
      </x:c>
      <x:c r="F267" t="str">
        <x:v>Other</x:v>
      </x:c>
      <x:c r="G267" s="11" t="n">
        <x:f>C267*E267</x:f>
        <x:v>119</x:v>
      </x:c>
    </x:row>
    <x:row r="268">
      <x:c r="A268" t="str">
        <x:v>automotive pop marketing</x:v>
      </x:c>
      <x:c r="B268" s="8" t="n">
        <x:v>0</x:v>
      </x:c>
      <x:c r="C268" s="8" t="n">
        <x:v>2</x:v>
      </x:c>
      <x:c r="D268" s="9" t="n">
        <x:v>0</x:v>
      </x:c>
      <x:c r="E268" s="10" t="n">
        <x:v>59.5</x:v>
      </x:c>
      <x:c r="F268" t="str">
        <x:v>Core Marketing</x:v>
      </x:c>
      <x:c r="G268" s="11" t="n">
        <x:f>C268*E268</x:f>
        <x:v>119</x:v>
      </x:c>
    </x:row>
    <x:row r="269">
      <x:c r="A269" t="str">
        <x:v>mechanic social media solutions</x:v>
      </x:c>
      <x:c r="B269" s="8" t="n">
        <x:v>0</x:v>
      </x:c>
      <x:c r="C269" s="8" t="n">
        <x:v>2</x:v>
      </x:c>
      <x:c r="D269" s="9" t="n">
        <x:v>0</x:v>
      </x:c>
      <x:c r="E269" s="10" t="n">
        <x:v>60</x:v>
      </x:c>
      <x:c r="F269" t="str">
        <x:v>Social Media</x:v>
      </x:c>
      <x:c r="G269" s="11" t="n">
        <x:f>C269*E269</x:f>
        <x:v>120</x:v>
      </x:c>
    </x:row>
    <x:row r="270">
      <x:c r="A270" t="str">
        <x:v>automotive direct mail carlsbad</x:v>
      </x:c>
      <x:c r="B270" s="8" t="n">
        <x:v>0</x:v>
      </x:c>
      <x:c r="C270" s="8" t="n">
        <x:v>2</x:v>
      </x:c>
      <x:c r="D270" s="9" t="n">
        <x:v>0</x:v>
      </x:c>
      <x:c r="E270" s="10" t="n">
        <x:v>60.5</x:v>
      </x:c>
      <x:c r="F270" t="str">
        <x:v>Direct Mail</x:v>
      </x:c>
      <x:c r="G270" s="11" t="n">
        <x:f>C270*E270</x:f>
        <x:v>121</x:v>
      </x:c>
    </x:row>
    <x:row r="271">
      <x:c r="A271" t="str">
        <x:v>digital marketing for auto shops</x:v>
      </x:c>
      <x:c r="B271" s="8" t="n">
        <x:v>0</x:v>
      </x:c>
      <x:c r="C271" s="8" t="n">
        <x:v>2</x:v>
      </x:c>
      <x:c r="D271" s="9" t="n">
        <x:v>0</x:v>
      </x:c>
      <x:c r="E271" s="10" t="n">
        <x:v>60.5</x:v>
      </x:c>
      <x:c r="F271" t="str">
        <x:v>Digital Marketing</x:v>
      </x:c>
      <x:c r="G271" s="11" t="n">
        <x:f>C271*E271</x:f>
        <x:v>121</x:v>
      </x:c>
    </x:row>
    <x:row r="272">
      <x:c r="A272" t="str">
        <x:v>what is the best marketing for auto repair shop</x:v>
      </x:c>
      <x:c r="B272" s="8" t="n">
        <x:v>0</x:v>
      </x:c>
      <x:c r="C272" s="8" t="n">
        <x:v>2</x:v>
      </x:c>
      <x:c r="D272" s="9" t="n">
        <x:v>0</x:v>
      </x:c>
      <x:c r="E272" s="10" t="n">
        <x:v>63.5</x:v>
      </x:c>
      <x:c r="F272" t="str">
        <x:v>Other</x:v>
      </x:c>
      <x:c r="G272" s="11" t="n">
        <x:f>C272*E272</x:f>
        <x:v>127</x:v>
      </x:c>
    </x:row>
    <x:row r="273">
      <x:c r="A273" t="str">
        <x:v>auto repair shop leads</x:v>
      </x:c>
      <x:c r="B273" s="8" t="n">
        <x:v>0</x:v>
      </x:c>
      <x:c r="C273" s="8" t="n">
        <x:v>2</x:v>
      </x:c>
      <x:c r="D273" s="9" t="n">
        <x:v>0</x:v>
      </x:c>
      <x:c r="E273" s="10" t="n">
        <x:v>64</x:v>
      </x:c>
      <x:c r="F273" t="str">
        <x:v>Other</x:v>
      </x:c>
      <x:c r="G273" s="11" t="n">
        <x:f>C273*E273</x:f>
        <x:v>128</x:v>
      </x:c>
    </x:row>
    <x:row r="274">
      <x:c r="A274" t="str">
        <x:v>auto repair seo agency</x:v>
      </x:c>
      <x:c r="B274" s="8" t="n">
        <x:v>0</x:v>
      </x:c>
      <x:c r="C274" s="8" t="n">
        <x:v>2</x:v>
      </x:c>
      <x:c r="D274" s="9" t="n">
        <x:v>0</x:v>
      </x:c>
      <x:c r="E274" s="10" t="n">
        <x:v>67.5</x:v>
      </x:c>
      <x:c r="F274" t="str">
        <x:v>Other</x:v>
      </x:c>
      <x:c r="G274" s="11" t="n">
        <x:f>C274*E274</x:f>
        <x:v>135</x:v>
      </x:c>
    </x:row>
    <x:row r="275">
      <x:c r="A275" t="str">
        <x:v>digital marketing for auto body shops</x:v>
      </x:c>
      <x:c r="B275" s="8" t="n">
        <x:v>0</x:v>
      </x:c>
      <x:c r="C275" s="8" t="n">
        <x:v>2</x:v>
      </x:c>
      <x:c r="D275" s="9" t="n">
        <x:v>0</x:v>
      </x:c>
      <x:c r="E275" s="10" t="n">
        <x:v>69</x:v>
      </x:c>
      <x:c r="F275" t="str">
        <x:v>Digital Marketing</x:v>
      </x:c>
      <x:c r="G275" s="11" t="n">
        <x:f>C275*E275</x:f>
        <x:v>138</x:v>
      </x:c>
    </x:row>
    <x:row r="276">
      <x:c r="A276" t="str">
        <x:v>auto repair ppc marketing</x:v>
      </x:c>
      <x:c r="B276" s="8" t="n">
        <x:v>0</x:v>
      </x:c>
      <x:c r="C276" s="8" t="n">
        <x:v>2</x:v>
      </x:c>
      <x:c r="D276" s="9" t="n">
        <x:v>0</x:v>
      </x:c>
      <x:c r="E276" s="10" t="n">
        <x:v>69.5</x:v>
      </x:c>
      <x:c r="F276" t="str">
        <x:v>Core Marketing</x:v>
      </x:c>
      <x:c r="G276" s="11" t="n">
        <x:f>C276*E276</x:f>
        <x:v>139</x:v>
      </x:c>
    </x:row>
    <x:row r="277">
      <x:c r="A277" t="str">
        <x:v>adwords campaign management for auto repair shop</x:v>
      </x:c>
      <x:c r="B277" s="8" t="n">
        <x:v>0</x:v>
      </x:c>
      <x:c r="C277" s="8" t="n">
        <x:v>2</x:v>
      </x:c>
      <x:c r="D277" s="9" t="n">
        <x:v>0</x:v>
      </x:c>
      <x:c r="E277" s="10" t="n">
        <x:v>70.5</x:v>
      </x:c>
      <x:c r="F277" t="str">
        <x:v>Other</x:v>
      </x:c>
      <x:c r="G277" s="11" t="n">
        <x:f>C277*E277</x:f>
        <x:v>141</x:v>
      </x:c>
    </x:row>
    <x:row r="278">
      <x:c r="A278" t="str">
        <x:v>direct mail advertising automotive</x:v>
      </x:c>
      <x:c r="B278" s="8" t="n">
        <x:v>0</x:v>
      </x:c>
      <x:c r="C278" s="8" t="n">
        <x:v>2</x:v>
      </x:c>
      <x:c r="D278" s="9" t="n">
        <x:v>0</x:v>
      </x:c>
      <x:c r="E278" s="10" t="n">
        <x:v>71.5</x:v>
      </x:c>
      <x:c r="F278" t="str">
        <x:v>Direct Mail</x:v>
      </x:c>
      <x:c r="G278" s="11" t="n">
        <x:f>C278*E278</x:f>
        <x:v>143</x:v>
      </x:c>
    </x:row>
    <x:row r="279">
      <x:c r="A279" t="str">
        <x:v>automotive direct mail car service</x:v>
      </x:c>
      <x:c r="B279" s="8" t="n">
        <x:v>0</x:v>
      </x:c>
      <x:c r="C279" s="8" t="n">
        <x:v>2</x:v>
      </x:c>
      <x:c r="D279" s="9" t="n">
        <x:v>0</x:v>
      </x:c>
      <x:c r="E279" s="10" t="n">
        <x:v>73.5</x:v>
      </x:c>
      <x:c r="F279" t="str">
        <x:v>Direct Mail</x:v>
      </x:c>
      <x:c r="G279" s="11" t="n">
        <x:f>C279*E279</x:f>
        <x:v>147</x:v>
      </x:c>
    </x:row>
    <x:row r="280">
      <x:c r="A280" t="str">
        <x:v>direct mail for automotive lenders</x:v>
      </x:c>
      <x:c r="B280" s="8" t="n">
        <x:v>0</x:v>
      </x:c>
      <x:c r="C280" s="8" t="n">
        <x:v>2</x:v>
      </x:c>
      <x:c r="D280" s="9" t="n">
        <x:v>0</x:v>
      </x:c>
      <x:c r="E280" s="10" t="n">
        <x:v>74.5</x:v>
      </x:c>
      <x:c r="F280" t="str">
        <x:v>Direct Mail</x:v>
      </x:c>
      <x:c r="G280" s="11" t="n">
        <x:f>C280*E280</x:f>
        <x:v>149</x:v>
      </x:c>
    </x:row>
    <x:row r="281">
      <x:c r="A281" t="str">
        <x:v>auto repair shop content marketing</x:v>
      </x:c>
      <x:c r="B281" s="8" t="n">
        <x:v>0</x:v>
      </x:c>
      <x:c r="C281" s="8" t="n">
        <x:v>2</x:v>
      </x:c>
      <x:c r="D281" s="9" t="n">
        <x:v>0</x:v>
      </x:c>
      <x:c r="E281" s="10" t="n">
        <x:v>77</x:v>
      </x:c>
      <x:c r="F281" t="str">
        <x:v>Core Marketing</x:v>
      </x:c>
      <x:c r="G281" s="11" t="n">
        <x:f>C281*E281</x:f>
        <x:v>154</x:v>
      </x:c>
    </x:row>
    <x:row r="282">
      <x:c r="A282" t="str">
        <x:v>automotive copywriting</x:v>
      </x:c>
      <x:c r="B282" s="8" t="n">
        <x:v>0</x:v>
      </x:c>
      <x:c r="C282" s="8" t="n">
        <x:v>2</x:v>
      </x:c>
      <x:c r="D282" s="9" t="n">
        <x:v>0</x:v>
      </x:c>
      <x:c r="E282" s="10" t="n">
        <x:v>78</x:v>
      </x:c>
      <x:c r="F282" t="str">
        <x:v>Other</x:v>
      </x:c>
      <x:c r="G282" s="11" t="n">
        <x:f>C282*E282</x:f>
        <x:v>156</x:v>
      </x:c>
    </x:row>
    <x:row r="283">
      <x:c r="A283" t="str">
        <x:v>auto shop email marketing</x:v>
      </x:c>
      <x:c r="B283" s="8" t="n">
        <x:v>0</x:v>
      </x:c>
      <x:c r="C283" s="8" t="n">
        <x:v>2</x:v>
      </x:c>
      <x:c r="D283" s="9" t="n">
        <x:v>0</x:v>
      </x:c>
      <x:c r="E283" s="10" t="n">
        <x:v>79</x:v>
      </x:c>
      <x:c r="F283" t="str">
        <x:v>Retention / Email</x:v>
      </x:c>
      <x:c r="G283" s="11" t="n">
        <x:f>C283*E283</x:f>
        <x:v>158</x:v>
      </x:c>
    </x:row>
    <x:row r="284">
      <x:c r="A284" t="str">
        <x:v>"google reviews"</x:v>
      </x:c>
      <x:c r="B284" s="8" t="n">
        <x:v>0</x:v>
      </x:c>
      <x:c r="C284" s="8" t="n">
        <x:v>2</x:v>
      </x:c>
      <x:c r="D284" s="9" t="n">
        <x:v>0</x:v>
      </x:c>
      <x:c r="E284" s="10" t="n">
        <x:v>95</x:v>
      </x:c>
      <x:c r="F284" t="str">
        <x:v>Other</x:v>
      </x:c>
      <x:c r="G284" s="11" t="n">
        <x:f>C284*E284</x:f>
        <x:v>190</x:v>
      </x:c>
    </x:row>
    <x:row r="285">
      <x:c r="A285" t="str">
        <x:v>automotive retention marketing</x:v>
      </x:c>
      <x:c r="B285" s="8" t="n">
        <x:v>0</x:v>
      </x:c>
      <x:c r="C285" s="8" t="n">
        <x:v>1</x:v>
      </x:c>
      <x:c r="D285" s="9" t="n">
        <x:v>0</x:v>
      </x:c>
      <x:c r="E285" s="10" t="n">
        <x:v>1</x:v>
      </x:c>
      <x:c r="F285" t="str">
        <x:v>Retention / Email</x:v>
      </x:c>
      <x:c r="G285" s="11" t="n">
        <x:f>C285*E285</x:f>
        <x:v>1</x:v>
      </x:c>
    </x:row>
    <x:row r="286">
      <x:c r="A286" t="str">
        <x:v>marketing</x:v>
      </x:c>
      <x:c r="B286" s="8" t="n">
        <x:v>0</x:v>
      </x:c>
      <x:c r="C286" s="8" t="n">
        <x:v>1</x:v>
      </x:c>
      <x:c r="D286" s="9" t="n">
        <x:v>0</x:v>
      </x:c>
      <x:c r="E286" s="10" t="n">
        <x:v>1</x:v>
      </x:c>
      <x:c r="F286" t="str">
        <x:v>Other</x:v>
      </x:c>
      <x:c r="G286" s="11" t="n">
        <x:f>C286*E286</x:f>
        <x:v>1</x:v>
      </x:c>
    </x:row>
    <x:row r="287">
      <x:c r="A287" t="str">
        <x:v>marketing analytics overland park</x:v>
      </x:c>
      <x:c r="B287" s="8" t="n">
        <x:v>0</x:v>
      </x:c>
      <x:c r="C287" s="8" t="n">
        <x:v>1</x:v>
      </x:c>
      <x:c r="D287" s="9" t="n">
        <x:v>0</x:v>
      </x:c>
      <x:c r="E287" s="10" t="n">
        <x:v>1</x:v>
      </x:c>
      <x:c r="F287" t="str">
        <x:v>Other</x:v>
      </x:c>
      <x:c r="G287" s="11" t="n">
        <x:f>C287*E287</x:f>
        <x:v>1</x:v>
      </x:c>
    </x:row>
    <x:row r="288">
      <x:c r="A288" t="str">
        <x:v>marketing analytics overland park kansas</x:v>
      </x:c>
      <x:c r="B288" s="8" t="n">
        <x:v>0</x:v>
      </x:c>
      <x:c r="C288" s="8" t="n">
        <x:v>1</x:v>
      </x:c>
      <x:c r="D288" s="9" t="n">
        <x:v>0</x:v>
      </x:c>
      <x:c r="E288" s="10" t="n">
        <x:v>1</x:v>
      </x:c>
      <x:c r="F288" t="str">
        <x:v>Other</x:v>
      </x:c>
      <x:c r="G288" s="11" t="n">
        <x:f>C288*E288</x:f>
        <x:v>1</x:v>
      </x:c>
    </x:row>
    <x:row r="289">
      <x:c r="A289" t="str">
        <x:v>marketing analytics overland park ks</x:v>
      </x:c>
      <x:c r="B289" s="8" t="n">
        <x:v>0</x:v>
      </x:c>
      <x:c r="C289" s="8" t="n">
        <x:v>1</x:v>
      </x:c>
      <x:c r="D289" s="9" t="n">
        <x:v>0</x:v>
      </x:c>
      <x:c r="E289" s="10" t="n">
        <x:v>1</x:v>
      </x:c>
      <x:c r="F289" t="str">
        <x:v>Other</x:v>
      </x:c>
      <x:c r="G289" s="11" t="n">
        <x:f>C289*E289</x:f>
        <x:v>1</x:v>
      </x:c>
    </x:row>
    <x:row r="290">
      <x:c r="A290" t="str">
        <x:v>marketing for automotive</x:v>
      </x:c>
      <x:c r="B290" s="8" t="n">
        <x:v>0</x:v>
      </x:c>
      <x:c r="C290" s="8" t="n">
        <x:v>1</x:v>
      </x:c>
      <x:c r="D290" s="9" t="n">
        <x:v>0</x:v>
      </x:c>
      <x:c r="E290" s="10" t="n">
        <x:v>1</x:v>
      </x:c>
      <x:c r="F290" t="str">
        <x:v>Other</x:v>
      </x:c>
      <x:c r="G290" s="11" t="n">
        <x:f>C290*E290</x:f>
        <x:v>1</x:v>
      </x:c>
    </x:row>
    <x:row r="291">
      <x:c r="A291" t="str">
        <x:v>marketing for manufacturing</x:v>
      </x:c>
      <x:c r="B291" s="8" t="n">
        <x:v>0</x:v>
      </x:c>
      <x:c r="C291" s="8" t="n">
        <x:v>1</x:v>
      </x:c>
      <x:c r="D291" s="9" t="n">
        <x:v>0</x:v>
      </x:c>
      <x:c r="E291" s="10" t="n">
        <x:v>1</x:v>
      </x:c>
      <x:c r="F291" t="str">
        <x:v>Other</x:v>
      </x:c>
      <x:c r="G291" s="11" t="n">
        <x:f>C291*E291</x:f>
        <x:v>1</x:v>
      </x:c>
    </x:row>
    <x:row r="292">
      <x:c r="A292" t="str">
        <x:v>marketing for retail</x:v>
      </x:c>
      <x:c r="B292" s="8" t="n">
        <x:v>0</x:v>
      </x:c>
      <x:c r="C292" s="8" t="n">
        <x:v>1</x:v>
      </x:c>
      <x:c r="D292" s="9" t="n">
        <x:v>0</x:v>
      </x:c>
      <x:c r="E292" s="10" t="n">
        <x:v>1</x:v>
      </x:c>
      <x:c r="F292" t="str">
        <x:v>Other</x:v>
      </x:c>
      <x:c r="G292" s="11" t="n">
        <x:f>C292*E292</x:f>
        <x:v>1</x:v>
      </x:c>
    </x:row>
    <x:row r="293">
      <x:c r="A293" t="str">
        <x:v>marketing plan</x:v>
      </x:c>
      <x:c r="B293" s="8" t="n">
        <x:v>0</x:v>
      </x:c>
      <x:c r="C293" s="8" t="n">
        <x:v>1</x:v>
      </x:c>
      <x:c r="D293" s="9" t="n">
        <x:v>0</x:v>
      </x:c>
      <x:c r="E293" s="10" t="n">
        <x:v>1</x:v>
      </x:c>
      <x:c r="F293" t="str">
        <x:v>Marketing Plan / Strategy</x:v>
      </x:c>
      <x:c r="G293" s="11" t="n">
        <x:f>C293*E293</x:f>
        <x:v>1</x:v>
      </x:c>
    </x:row>
    <x:row r="294">
      <x:c r="A294" t="str">
        <x:v>turn key</x:v>
      </x:c>
      <x:c r="B294" s="8" t="n">
        <x:v>0</x:v>
      </x:c>
      <x:c r="C294" s="8" t="n">
        <x:v>1</x:v>
      </x:c>
      <x:c r="D294" s="9" t="n">
        <x:v>0</x:v>
      </x:c>
      <x:c r="E294" s="10" t="n">
        <x:v>1</x:v>
      </x:c>
      <x:c r="F294" t="str">
        <x:v>Other</x:v>
      </x:c>
      <x:c r="G294" s="11" t="n">
        <x:f>C294*E294</x:f>
        <x:v>1</x:v>
      </x:c>
    </x:row>
    <x:row r="295">
      <x:c r="A295" t="str">
        <x:v>turn-key</x:v>
      </x:c>
      <x:c r="B295" s="8" t="n">
        <x:v>0</x:v>
      </x:c>
      <x:c r="C295" s="8" t="n">
        <x:v>1</x:v>
      </x:c>
      <x:c r="D295" s="9" t="n">
        <x:v>0</x:v>
      </x:c>
      <x:c r="E295" s="10" t="n">
        <x:v>2</x:v>
      </x:c>
      <x:c r="F295" t="str">
        <x:v>Other</x:v>
      </x:c>
      <x:c r="G295" s="11" t="n">
        <x:f>C295*E295</x:f>
        <x:v>2</x:v>
      </x:c>
    </x:row>
    <x:row r="296">
      <x:c r="A296" t="str">
        <x:v>turnkey?</x:v>
      </x:c>
      <x:c r="B296" s="8" t="n">
        <x:v>0</x:v>
      </x:c>
      <x:c r="C296" s="8" t="n">
        <x:v>1</x:v>
      </x:c>
      <x:c r="D296" s="9" t="n">
        <x:v>0</x:v>
      </x:c>
      <x:c r="E296" s="10" t="n">
        <x:v>3</x:v>
      </x:c>
      <x:c r="F296" t="str">
        <x:v>Branded</x:v>
      </x:c>
      <x:c r="G296" s="11" t="n">
        <x:f>C296*E296</x:f>
        <x:v>3</x:v>
      </x:c>
    </x:row>
    <x:row r="297">
      <x:c r="A297" t="str">
        <x:v>ultimate auto repair jackson mi</x:v>
      </x:c>
      <x:c r="B297" s="8" t="n">
        <x:v>0</x:v>
      </x:c>
      <x:c r="C297" s="8" t="n">
        <x:v>1</x:v>
      </x:c>
      <x:c r="D297" s="9" t="n">
        <x:v>0</x:v>
      </x:c>
      <x:c r="E297" s="10" t="n">
        <x:v>4</x:v>
      </x:c>
      <x:c r="F297" t="str">
        <x:v>Other</x:v>
      </x:c>
      <x:c r="G297" s="11" t="n">
        <x:f>C297*E297</x:f>
        <x:v>4</x:v>
      </x:c>
    </x:row>
    <x:row r="298">
      <x:c r="A298" t="str">
        <x:v>turnkey supplier</x:v>
      </x:c>
      <x:c r="B298" s="8" t="n">
        <x:v>0</x:v>
      </x:c>
      <x:c r="C298" s="8" t="n">
        <x:v>1</x:v>
      </x:c>
      <x:c r="D298" s="9" t="n">
        <x:v>0</x:v>
      </x:c>
      <x:c r="E298" s="10" t="n">
        <x:v>5</x:v>
      </x:c>
      <x:c r="F298" t="str">
        <x:v>Branded</x:v>
      </x:c>
      <x:c r="G298" s="11" t="n">
        <x:f>C298*E298</x:f>
        <x:v>5</x:v>
      </x:c>
    </x:row>
    <x:row r="299">
      <x:c r="A299" t="str">
        <x:v>"fast lane automotive" "google rating"</x:v>
      </x:c>
      <x:c r="B299" s="8" t="n">
        <x:v>0</x:v>
      </x:c>
      <x:c r="C299" s="8" t="n">
        <x:v>1</x:v>
      </x:c>
      <x:c r="D299" s="9" t="n">
        <x:v>0</x:v>
      </x:c>
      <x:c r="E299" s="10" t="n">
        <x:v>6</x:v>
      </x:c>
      <x:c r="F299" t="str">
        <x:v>Other</x:v>
      </x:c>
      <x:c r="G299" s="11" t="n">
        <x:f>C299*E299</x:f>
        <x:v>6</x:v>
      </x:c>
    </x:row>
    <x:row r="300">
      <x:c r="A300" t="str">
        <x:v>turnkey automotive solutions</x:v>
      </x:c>
      <x:c r="B300" s="8" t="n">
        <x:v>0</x:v>
      </x:c>
      <x:c r="C300" s="8" t="n">
        <x:v>1</x:v>
      </x:c>
      <x:c r="D300" s="9" t="n">
        <x:v>0</x:v>
      </x:c>
      <x:c r="E300" s="10" t="n">
        <x:v>7</x:v>
      </x:c>
      <x:c r="F300" t="str">
        <x:v>Branded</x:v>
      </x:c>
      <x:c r="G300" s="11" t="n">
        <x:f>C300*E300</x:f>
        <x:v>7</x:v>
      </x:c>
    </x:row>
    <x:row r="301">
      <x:c r="A301" t="str">
        <x:v>caroline brinker</x:v>
      </x:c>
      <x:c r="B301" s="8" t="n">
        <x:v>0</x:v>
      </x:c>
      <x:c r="C301" s="8" t="n">
        <x:v>1</x:v>
      </x:c>
      <x:c r="D301" s="9" t="n">
        <x:v>0</x:v>
      </x:c>
      <x:c r="E301" s="10" t="n">
        <x:v>9</x:v>
      </x:c>
      <x:c r="F301" t="str">
        <x:v>Other</x:v>
      </x:c>
      <x:c r="G301" s="11" t="n">
        <x:f>C301*E301</x:f>
        <x:v>9</x:v>
      </x:c>
    </x:row>
    <x:row r="302">
      <x:c r="A302" t="str">
        <x:v>hcs auto</x:v>
      </x:c>
      <x:c r="B302" s="8" t="n">
        <x:v>0</x:v>
      </x:c>
      <x:c r="C302" s="8" t="n">
        <x:v>1</x:v>
      </x:c>
      <x:c r="D302" s="9" t="n">
        <x:v>0</x:v>
      </x:c>
      <x:c r="E302" s="10" t="n">
        <x:v>9</x:v>
      </x:c>
      <x:c r="F302" t="str">
        <x:v>Other</x:v>
      </x:c>
      <x:c r="G302" s="11" t="n">
        <x:f>C302*E302</x:f>
        <x:v>9</x:v>
      </x:c>
    </x:row>
    <x:row r="303">
      <x:c r="A303" t="str">
        <x:v>turnkey business</x:v>
      </x:c>
      <x:c r="B303" s="8" t="n">
        <x:v>0</x:v>
      </x:c>
      <x:c r="C303" s="8" t="n">
        <x:v>1</x:v>
      </x:c>
      <x:c r="D303" s="9" t="n">
        <x:v>0</x:v>
      </x:c>
      <x:c r="E303" s="10" t="n">
        <x:v>9</x:v>
      </x:c>
      <x:c r="F303" t="str">
        <x:v>Branded</x:v>
      </x:c>
      <x:c r="G303" s="11" t="n">
        <x:f>C303*E303</x:f>
        <x:v>9</x:v>
      </x:c>
    </x:row>
    <x:row r="304">
      <x:c r="A304" t="str">
        <x:v>turnkey pr</x:v>
      </x:c>
      <x:c r="B304" s="8" t="n">
        <x:v>0</x:v>
      </x:c>
      <x:c r="C304" s="8" t="n">
        <x:v>1</x:v>
      </x:c>
      <x:c r="D304" s="9" t="n">
        <x:v>0</x:v>
      </x:c>
      <x:c r="E304" s="10" t="n">
        <x:v>9</x:v>
      </x:c>
      <x:c r="F304" t="str">
        <x:v>Branded</x:v>
      </x:c>
      <x:c r="G304" s="11" t="n">
        <x:f>C304*E304</x:f>
        <x:v>9</x:v>
      </x:c>
    </x:row>
    <x:row r="305">
      <x:c r="A305" t="str">
        <x:v>aftermarket marketing agency</x:v>
      </x:c>
      <x:c r="B305" s="8" t="n">
        <x:v>0</x:v>
      </x:c>
      <x:c r="C305" s="8" t="n">
        <x:v>1</x:v>
      </x:c>
      <x:c r="D305" s="9" t="n">
        <x:v>0</x:v>
      </x:c>
      <x:c r="E305" s="10" t="n">
        <x:v>10</x:v>
      </x:c>
      <x:c r="F305" t="str">
        <x:v>Agency / Consultant</x:v>
      </x:c>
      <x:c r="G305" s="11" t="n">
        <x:f>C305*E305</x:f>
        <x:v>10</x:v>
      </x:c>
    </x:row>
    <x:row r="306">
      <x:c r="A306" t="str">
        <x:v>directtrack</x:v>
      </x:c>
      <x:c r="B306" s="8" t="n">
        <x:v>0</x:v>
      </x:c>
      <x:c r="C306" s="8" t="n">
        <x:v>1</x:v>
      </x:c>
      <x:c r="D306" s="9" t="n">
        <x:v>0</x:v>
      </x:c>
      <x:c r="E306" s="10" t="n">
        <x:v>10</x:v>
      </x:c>
      <x:c r="F306" t="str">
        <x:v>Other</x:v>
      </x:c>
      <x:c r="G306" s="11" t="n">
        <x:f>C306*E306</x:f>
        <x:v>10</x:v>
      </x:c>
    </x:row>
    <x:row r="307">
      <x:c r="A307" t="str">
        <x:v>turnkey motorsports</x:v>
      </x:c>
      <x:c r="B307" s="8" t="n">
        <x:v>0</x:v>
      </x:c>
      <x:c r="C307" s="8" t="n">
        <x:v>1</x:v>
      </x:c>
      <x:c r="D307" s="9" t="n">
        <x:v>0</x:v>
      </x:c>
      <x:c r="E307" s="10" t="n">
        <x:v>10</x:v>
      </x:c>
      <x:c r="F307" t="str">
        <x:v>Branded</x:v>
      </x:c>
      <x:c r="G307" s="11" t="n">
        <x:f>C307*E307</x:f>
        <x:v>10</x:v>
      </x:c>
    </x:row>
    <x:row r="308">
      <x:c r="A308" t="str">
        <x:v>mechanic print marketing</x:v>
      </x:c>
      <x:c r="B308" s="8" t="n">
        <x:v>0</x:v>
      </x:c>
      <x:c r="C308" s="8" t="n">
        <x:v>1</x:v>
      </x:c>
      <x:c r="D308" s="9" t="n">
        <x:v>0</x:v>
      </x:c>
      <x:c r="E308" s="10" t="n">
        <x:v>11</x:v>
      </x:c>
      <x:c r="F308" t="str">
        <x:v>Core Marketing</x:v>
      </x:c>
      <x:c r="G308" s="11" t="n">
        <x:f>C308*E308</x:f>
        <x:v>11</x:v>
      </x:c>
    </x:row>
    <x:row r="309">
      <x:c r="A309" t="str">
        <x:v>turnkey shop</x:v>
      </x:c>
      <x:c r="B309" s="8" t="n">
        <x:v>0</x:v>
      </x:c>
      <x:c r="C309" s="8" t="n">
        <x:v>1</x:v>
      </x:c>
      <x:c r="D309" s="9" t="n">
        <x:v>0</x:v>
      </x:c>
      <x:c r="E309" s="10" t="n">
        <x:v>11</x:v>
      </x:c>
      <x:c r="F309" t="str">
        <x:v>Branded</x:v>
      </x:c>
      <x:c r="G309" s="11" t="n">
        <x:f>C309*E309</x:f>
        <x:v>11</x:v>
      </x:c>
    </x:row>
    <x:row r="310">
      <x:c r="A310" t="str">
        <x:v>turn key auto repair photos</x:v>
      </x:c>
      <x:c r="B310" s="8" t="n">
        <x:v>0</x:v>
      </x:c>
      <x:c r="C310" s="8" t="n">
        <x:v>1</x:v>
      </x:c>
      <x:c r="D310" s="9" t="n">
        <x:v>0</x:v>
      </x:c>
      <x:c r="E310" s="10" t="n">
        <x:v>12</x:v>
      </x:c>
      <x:c r="F310" t="str">
        <x:v>Other</x:v>
      </x:c>
      <x:c r="G310" s="11" t="n">
        <x:f>C310*E310</x:f>
        <x:v>12</x:v>
      </x:c>
    </x:row>
    <x:row r="311">
      <x:c r="A311" t="str">
        <x:v>auto repair shop marketing on a budget</x:v>
      </x:c>
      <x:c r="B311" s="8" t="n">
        <x:v>0</x:v>
      </x:c>
      <x:c r="C311" s="8" t="n">
        <x:v>1</x:v>
      </x:c>
      <x:c r="D311" s="9" t="n">
        <x:v>0</x:v>
      </x:c>
      <x:c r="E311" s="10" t="n">
        <x:v>15</x:v>
      </x:c>
      <x:c r="F311" t="str">
        <x:v>Core Marketing</x:v>
      </x:c>
      <x:c r="G311" s="11" t="n">
        <x:f>C311*E311</x:f>
        <x:v>15</x:v>
      </x:c>
    </x:row>
    <x:row r="312">
      <x:c r="A312" t="str">
        <x:v>turn key motorsports</x:v>
      </x:c>
      <x:c r="B312" s="8" t="n">
        <x:v>0</x:v>
      </x:c>
      <x:c r="C312" s="8" t="n">
        <x:v>1</x:v>
      </x:c>
      <x:c r="D312" s="9" t="n">
        <x:v>0</x:v>
      </x:c>
      <x:c r="E312" s="10" t="n">
        <x:v>19</x:v>
      </x:c>
      <x:c r="F312" t="str">
        <x:v>Other</x:v>
      </x:c>
      <x:c r="G312" s="11" t="n">
        <x:f>C312*E312</x:f>
        <x:v>19</x:v>
      </x:c>
    </x:row>
    <x:row r="313">
      <x:c r="A313" t="str">
        <x:v>auto marketing company</x:v>
      </x:c>
      <x:c r="B313" s="8" t="n">
        <x:v>0</x:v>
      </x:c>
      <x:c r="C313" s="8" t="n">
        <x:v>1</x:v>
      </x:c>
      <x:c r="D313" s="9" t="n">
        <x:v>0</x:v>
      </x:c>
      <x:c r="E313" s="10" t="n">
        <x:v>20</x:v>
      </x:c>
      <x:c r="F313" t="str">
        <x:v>Agency / Consultant</x:v>
      </x:c>
      <x:c r="G313" s="11" t="n">
        <x:f>C313*E313</x:f>
        <x:v>20</x:v>
      </x:c>
    </x:row>
    <x:row r="314">
      <x:c r="A314" t="str">
        <x:v>car shop marketing</x:v>
      </x:c>
      <x:c r="B314" s="8" t="n">
        <x:v>0</x:v>
      </x:c>
      <x:c r="C314" s="8" t="n">
        <x:v>1</x:v>
      </x:c>
      <x:c r="D314" s="9" t="n">
        <x:v>0</x:v>
      </x:c>
      <x:c r="E314" s="10" t="n">
        <x:v>20</x:v>
      </x:c>
      <x:c r="F314" t="str">
        <x:v>Other</x:v>
      </x:c>
      <x:c r="G314" s="11" t="n">
        <x:f>C314*E314</x:f>
        <x:v>20</x:v>
      </x:c>
    </x:row>
    <x:row r="315">
      <x:c r="A315" t="str">
        <x:v>marketing agencies near me</x:v>
      </x:c>
      <x:c r="B315" s="8" t="n">
        <x:v>0</x:v>
      </x:c>
      <x:c r="C315" s="8" t="n">
        <x:v>1</x:v>
      </x:c>
      <x:c r="D315" s="9" t="n">
        <x:v>0</x:v>
      </x:c>
      <x:c r="E315" s="10" t="n">
        <x:v>21</x:v>
      </x:c>
      <x:c r="F315" t="str">
        <x:v>Other</x:v>
      </x:c>
      <x:c r="G315" s="11" t="n">
        <x:f>C315*E315</x:f>
        <x:v>21</x:v>
      </x:c>
    </x:row>
    <x:row r="316">
      <x:c r="A316" t="str">
        <x:v>overland park marketing agency</x:v>
      </x:c>
      <x:c r="B316" s="8" t="n">
        <x:v>0</x:v>
      </x:c>
      <x:c r="C316" s="8" t="n">
        <x:v>1</x:v>
      </x:c>
      <x:c r="D316" s="9" t="n">
        <x:v>0</x:v>
      </x:c>
      <x:c r="E316" s="10" t="n">
        <x:v>21</x:v>
      </x:c>
      <x:c r="F316" t="str">
        <x:v>Agency / Consultant</x:v>
      </x:c>
      <x:c r="G316" s="11" t="n">
        <x:f>C316*E316</x:f>
        <x:v>21</x:v>
      </x:c>
    </x:row>
    <x:row r="317">
      <x:c r="A317" t="str">
        <x:v>turnkey crm</x:v>
      </x:c>
      <x:c r="B317" s="8" t="n">
        <x:v>0</x:v>
      </x:c>
      <x:c r="C317" s="8" t="n">
        <x:v>1</x:v>
      </x:c>
      <x:c r="D317" s="9" t="n">
        <x:v>0</x:v>
      </x:c>
      <x:c r="E317" s="10" t="n">
        <x:v>21</x:v>
      </x:c>
      <x:c r="F317" t="str">
        <x:v>Branded</x:v>
      </x:c>
      <x:c r="G317" s="11" t="n">
        <x:f>C317*E317</x:f>
        <x:v>21</x:v>
      </x:c>
    </x:row>
    <x:row r="318">
      <x:c r="A318" t="str">
        <x:v>chris trunkey</x:v>
      </x:c>
      <x:c r="B318" s="8" t="n">
        <x:v>0</x:v>
      </x:c>
      <x:c r="C318" s="8" t="n">
        <x:v>1</x:v>
      </x:c>
      <x:c r="D318" s="9" t="n">
        <x:v>0</x:v>
      </x:c>
      <x:c r="E318" s="10" t="n">
        <x:v>23</x:v>
      </x:c>
      <x:c r="F318" t="str">
        <x:v>Other</x:v>
      </x:c>
      <x:c r="G318" s="11" t="n">
        <x:f>C318*E318</x:f>
        <x:v>23</x:v>
      </x:c>
    </x:row>
    <x:row r="319">
      <x:c r="A319" t="str">
        <x:v>mechanic garage marketing services</x:v>
      </x:c>
      <x:c r="B319" s="8" t="n">
        <x:v>0</x:v>
      </x:c>
      <x:c r="C319" s="8" t="n">
        <x:v>1</x:v>
      </x:c>
      <x:c r="D319" s="9" t="n">
        <x:v>0</x:v>
      </x:c>
      <x:c r="E319" s="10" t="n">
        <x:v>26</x:v>
      </x:c>
      <x:c r="F319" t="str">
        <x:v>Marketing Services</x:v>
      </x:c>
      <x:c r="G319" s="11" t="n">
        <x:f>C319*E319</x:f>
        <x:v>26</x:v>
      </x:c>
    </x:row>
    <x:row r="320">
      <x:c r="A320" t="str">
        <x:v>turnkey chicago</x:v>
      </x:c>
      <x:c r="B320" s="8" t="n">
        <x:v>0</x:v>
      </x:c>
      <x:c r="C320" s="8" t="n">
        <x:v>1</x:v>
      </x:c>
      <x:c r="D320" s="9" t="n">
        <x:v>0</x:v>
      </x:c>
      <x:c r="E320" s="10" t="n">
        <x:v>28</x:v>
      </x:c>
      <x:c r="F320" t="str">
        <x:v>Branded</x:v>
      </x:c>
      <x:c r="G320" s="11" t="n">
        <x:f>C320*E320</x:f>
        <x:v>28</x:v>
      </x:c>
    </x:row>
    <x:row r="321">
      <x:c r="A321" t="str">
        <x:v>full-service automotive marketing</x:v>
      </x:c>
      <x:c r="B321" s="8" t="n">
        <x:v>0</x:v>
      </x:c>
      <x:c r="C321" s="8" t="n">
        <x:v>1</x:v>
      </x:c>
      <x:c r="D321" s="9" t="n">
        <x:v>0</x:v>
      </x:c>
      <x:c r="E321" s="10" t="n">
        <x:v>29</x:v>
      </x:c>
      <x:c r="F321" t="str">
        <x:v>Core Marketing</x:v>
      </x:c>
      <x:c r="G321" s="11" t="n">
        <x:f>C321*E321</x:f>
        <x:v>29</x:v>
      </x:c>
    </x:row>
    <x:row r="322">
      <x:c r="A322" t="str">
        <x:v>kansas city auto repair seo service</x:v>
      </x:c>
      <x:c r="B322" s="8" t="n">
        <x:v>0</x:v>
      </x:c>
      <x:c r="C322" s="8" t="n">
        <x:v>1</x:v>
      </x:c>
      <x:c r="D322" s="9" t="n">
        <x:v>0</x:v>
      </x:c>
      <x:c r="E322" s="10" t="n">
        <x:v>29</x:v>
      </x:c>
      <x:c r="F322" t="str">
        <x:v>Other</x:v>
      </x:c>
      <x:c r="G322" s="11" t="n">
        <x:f>C322*E322</x:f>
        <x:v>29</x:v>
      </x:c>
    </x:row>
    <x:row r="323">
      <x:c r="A323" t="str">
        <x:v>shop in intitle:contact " * com" -india</x:v>
      </x:c>
      <x:c r="B323" s="8" t="n">
        <x:v>0</x:v>
      </x:c>
      <x:c r="C323" s="8" t="n">
        <x:v>1</x:v>
      </x:c>
      <x:c r="D323" s="9" t="n">
        <x:v>0</x:v>
      </x:c>
      <x:c r="E323" s="10" t="n">
        <x:v>30</x:v>
      </x:c>
      <x:c r="F323" t="str">
        <x:v>Other</x:v>
      </x:c>
      <x:c r="G323" s="11" t="n">
        <x:f>C323*E323</x:f>
        <x:v>30</x:v>
      </x:c>
    </x:row>
    <x:row r="324">
      <x:c r="A324" t="str">
        <x:v>turnkey media</x:v>
      </x:c>
      <x:c r="B324" s="8" t="n">
        <x:v>0</x:v>
      </x:c>
      <x:c r="C324" s="8" t="n">
        <x:v>1</x:v>
      </x:c>
      <x:c r="D324" s="9" t="n">
        <x:v>0</x:v>
      </x:c>
      <x:c r="E324" s="10" t="n">
        <x:v>30</x:v>
      </x:c>
      <x:c r="F324" t="str">
        <x:v>Branded</x:v>
      </x:c>
      <x:c r="G324" s="11" t="n">
        <x:f>C324*E324</x:f>
        <x:v>30</x:v>
      </x:c>
    </x:row>
    <x:row r="325">
      <x:c r="A325" t="str">
        <x:v>european auto repair marketing companies</x:v>
      </x:c>
      <x:c r="B325" s="8" t="n">
        <x:v>0</x:v>
      </x:c>
      <x:c r="C325" s="8" t="n">
        <x:v>1</x:v>
      </x:c>
      <x:c r="D325" s="9" t="n">
        <x:v>0</x:v>
      </x:c>
      <x:c r="E325" s="10" t="n">
        <x:v>31</x:v>
      </x:c>
      <x:c r="F325" t="str">
        <x:v>Comparison / Companies</x:v>
      </x:c>
      <x:c r="G325" s="11" t="n">
        <x:f>C325*E325</x:f>
        <x:v>31</x:v>
      </x:c>
    </x:row>
    <x:row r="326">
      <x:c r="A326" t="str">
        <x:v>auto repair shop marketing without an agency</x:v>
      </x:c>
      <x:c r="B326" s="8" t="n">
        <x:v>0</x:v>
      </x:c>
      <x:c r="C326" s="8" t="n">
        <x:v>1</x:v>
      </x:c>
      <x:c r="D326" s="9" t="n">
        <x:v>0</x:v>
      </x:c>
      <x:c r="E326" s="10" t="n">
        <x:v>34</x:v>
      </x:c>
      <x:c r="F326" t="str">
        <x:v>Core Marketing</x:v>
      </x:c>
      <x:c r="G326" s="11" t="n">
        <x:f>C326*E326</x:f>
        <x:v>34</x:v>
      </x:c>
    </x:row>
    <x:row r="327">
      <x:c r="A327" t="str">
        <x:v>auto repair shop work order marketing</x:v>
      </x:c>
      <x:c r="B327" s="8" t="n">
        <x:v>0</x:v>
      </x:c>
      <x:c r="C327" s="8" t="n">
        <x:v>1</x:v>
      </x:c>
      <x:c r="D327" s="9" t="n">
        <x:v>0</x:v>
      </x:c>
      <x:c r="E327" s="10" t="n">
        <x:v>37</x:v>
      </x:c>
      <x:c r="F327" t="str">
        <x:v>Core Marketing</x:v>
      </x:c>
      <x:c r="G327" s="11" t="n">
        <x:f>C327*E327</x:f>
        <x:v>37</x:v>
      </x:c>
    </x:row>
    <x:row r="328">
      <x:c r="A328" t="str">
        <x:v>automotive repair marketing strategies</x:v>
      </x:c>
      <x:c r="B328" s="8" t="n">
        <x:v>0</x:v>
      </x:c>
      <x:c r="C328" s="8" t="n">
        <x:v>1</x:v>
      </x:c>
      <x:c r="D328" s="9" t="n">
        <x:v>0</x:v>
      </x:c>
      <x:c r="E328" s="10" t="n">
        <x:v>37</x:v>
      </x:c>
      <x:c r="F328" t="str">
        <x:v>Marketing Plan / Strategy</x:v>
      </x:c>
      <x:c r="G328" s="11" t="n">
        <x:f>C328*E328</x:f>
        <x:v>37</x:v>
      </x:c>
    </x:row>
    <x:row r="329">
      <x:c r="A329" t="str">
        <x:v>diy marketing auto repair shop</x:v>
      </x:c>
      <x:c r="B329" s="8" t="n">
        <x:v>0</x:v>
      </x:c>
      <x:c r="C329" s="8" t="n">
        <x:v>1</x:v>
      </x:c>
      <x:c r="D329" s="9" t="n">
        <x:v>0</x:v>
      </x:c>
      <x:c r="E329" s="10" t="n">
        <x:v>37</x:v>
      </x:c>
      <x:c r="F329" t="str">
        <x:v>Other</x:v>
      </x:c>
      <x:c r="G329" s="11" t="n">
        <x:f>C329*E329</x:f>
        <x:v>37</x:v>
      </x:c>
    </x:row>
    <x:row r="330">
      <x:c r="A330" t="str">
        <x:v>turn key franchise marketing solutions</x:v>
      </x:c>
      <x:c r="B330" s="8" t="n">
        <x:v>0</x:v>
      </x:c>
      <x:c r="C330" s="8" t="n">
        <x:v>1</x:v>
      </x:c>
      <x:c r="D330" s="9" t="n">
        <x:v>0</x:v>
      </x:c>
      <x:c r="E330" s="10" t="n">
        <x:v>37</x:v>
      </x:c>
      <x:c r="F330" t="str">
        <x:v>Other</x:v>
      </x:c>
      <x:c r="G330" s="11" t="n">
        <x:f>C330*E330</x:f>
        <x:v>37</x:v>
      </x:c>
    </x:row>
    <x:row r="331">
      <x:c r="A331" t="str">
        <x:v>turnkey auto oshkosh</x:v>
      </x:c>
      <x:c r="B331" s="8" t="n">
        <x:v>0</x:v>
      </x:c>
      <x:c r="C331" s="8" t="n">
        <x:v>1</x:v>
      </x:c>
      <x:c r="D331" s="9" t="n">
        <x:v>0</x:v>
      </x:c>
      <x:c r="E331" s="10" t="n">
        <x:v>38</x:v>
      </x:c>
      <x:c r="F331" t="str">
        <x:v>Branded</x:v>
      </x:c>
      <x:c r="G331" s="11" t="n">
        <x:f>C331*E331</x:f>
        <x:v>38</x:v>
      </x:c>
    </x:row>
    <x:row r="332">
      <x:c r="A332" t="str">
        <x:v>turnkey mobile</x:v>
      </x:c>
      <x:c r="B332" s="8" t="n">
        <x:v>0</x:v>
      </x:c>
      <x:c r="C332" s="8" t="n">
        <x:v>1</x:v>
      </x:c>
      <x:c r="D332" s="9" t="n">
        <x:v>0</x:v>
      </x:c>
      <x:c r="E332" s="10" t="n">
        <x:v>38</x:v>
      </x:c>
      <x:c r="F332" t="str">
        <x:v>Branded</x:v>
      </x:c>
      <x:c r="G332" s="11" t="n">
        <x:f>C332*E332</x:f>
        <x:v>38</x:v>
      </x:c>
    </x:row>
    <x:row r="333">
      <x:c r="A333" t="str">
        <x:v>turn key mobile</x:v>
      </x:c>
      <x:c r="B333" s="8" t="n">
        <x:v>0</x:v>
      </x:c>
      <x:c r="C333" s="8" t="n">
        <x:v>1</x:v>
      </x:c>
      <x:c r="D333" s="9" t="n">
        <x:v>0</x:v>
      </x:c>
      <x:c r="E333" s="10" t="n">
        <x:v>39</x:v>
      </x:c>
      <x:c r="F333" t="str">
        <x:v>Other</x:v>
      </x:c>
      <x:c r="G333" s="11" t="n">
        <x:f>C333*E333</x:f>
        <x:v>39</x:v>
      </x:c>
    </x:row>
    <x:row r="334">
      <x:c r="A334" t="str">
        <x:v>turn-key mobile</x:v>
      </x:c>
      <x:c r="B334" s="8" t="n">
        <x:v>0</x:v>
      </x:c>
      <x:c r="C334" s="8" t="n">
        <x:v>1</x:v>
      </x:c>
      <x:c r="D334" s="9" t="n">
        <x:v>0</x:v>
      </x:c>
      <x:c r="E334" s="10" t="n">
        <x:v>39</x:v>
      </x:c>
      <x:c r="F334" t="str">
        <x:v>Other</x:v>
      </x:c>
      <x:c r="G334" s="11" t="n">
        <x:f>C334*E334</x:f>
        <x:v>39</x:v>
      </x:c>
    </x:row>
    <x:row r="335">
      <x:c r="A335" t="str">
        <x:v>turnkey digital</x:v>
      </x:c>
      <x:c r="B335" s="8" t="n">
        <x:v>0</x:v>
      </x:c>
      <x:c r="C335" s="8" t="n">
        <x:v>1</x:v>
      </x:c>
      <x:c r="D335" s="9" t="n">
        <x:v>0</x:v>
      </x:c>
      <x:c r="E335" s="10" t="n">
        <x:v>39</x:v>
      </x:c>
      <x:c r="F335" t="str">
        <x:v>Branded</x:v>
      </x:c>
      <x:c r="G335" s="11" t="n">
        <x:f>C335*E335</x:f>
        <x:v>39</x:v>
      </x:c>
    </x:row>
    <x:row r="336">
      <x:c r="A336" t="str">
        <x:v>turnkey promo websites</x:v>
      </x:c>
      <x:c r="B336" s="8" t="n">
        <x:v>0</x:v>
      </x:c>
      <x:c r="C336" s="8" t="n">
        <x:v>1</x:v>
      </x:c>
      <x:c r="D336" s="9" t="n">
        <x:v>0</x:v>
      </x:c>
      <x:c r="E336" s="10" t="n">
        <x:v>39</x:v>
      </x:c>
      <x:c r="F336" t="str">
        <x:v>Branded</x:v>
      </x:c>
      <x:c r="G336" s="11" t="n">
        <x:f>C336*E336</x:f>
        <x:v>39</x:v>
      </x:c>
    </x:row>
    <x:row r="337">
      <x:c r="A337" t="str">
        <x:v>turnkey sales llc</x:v>
      </x:c>
      <x:c r="B337" s="8" t="n">
        <x:v>0</x:v>
      </x:c>
      <x:c r="C337" s="8" t="n">
        <x:v>1</x:v>
      </x:c>
      <x:c r="D337" s="9" t="n">
        <x:v>0</x:v>
      </x:c>
      <x:c r="E337" s="10" t="n">
        <x:v>40</x:v>
      </x:c>
      <x:c r="F337" t="str">
        <x:v>Branded</x:v>
      </x:c>
      <x:c r="G337" s="11" t="n">
        <x:f>C337*E337</x:f>
        <x:v>40</x:v>
      </x:c>
    </x:row>
    <x:row r="338">
      <x:c r="A338" t="str">
        <x:v>turnkey vehicle project supplier</x:v>
      </x:c>
      <x:c r="B338" s="8" t="n">
        <x:v>0</x:v>
      </x:c>
      <x:c r="C338" s="8" t="n">
        <x:v>1</x:v>
      </x:c>
      <x:c r="D338" s="9" t="n">
        <x:v>0</x:v>
      </x:c>
      <x:c r="E338" s="10" t="n">
        <x:v>40</x:v>
      </x:c>
      <x:c r="F338" t="str">
        <x:v>Branded</x:v>
      </x:c>
      <x:c r="G338" s="11" t="n">
        <x:f>C338*E338</x:f>
        <x:v>40</x:v>
      </x:c>
    </x:row>
    <x:row r="339">
      <x:c r="A339" t="str">
        <x:v>advertising agency</x:v>
      </x:c>
      <x:c r="B339" s="8" t="n">
        <x:v>0</x:v>
      </x:c>
      <x:c r="C339" s="8" t="n">
        <x:v>1</x:v>
      </x:c>
      <x:c r="D339" s="9" t="n">
        <x:v>0</x:v>
      </x:c>
      <x:c r="E339" s="10" t="n">
        <x:v>41</x:v>
      </x:c>
      <x:c r="F339" t="str">
        <x:v>Other</x:v>
      </x:c>
      <x:c r="G339" s="11" t="n">
        <x:f>C339*E339</x:f>
        <x:v>41</x:v>
      </x:c>
    </x:row>
    <x:row r="340">
      <x:c r="A340" t="str">
        <x:v>marketing agency for gyms</x:v>
      </x:c>
      <x:c r="B340" s="8" t="n">
        <x:v>0</x:v>
      </x:c>
      <x:c r="C340" s="8" t="n">
        <x:v>1</x:v>
      </x:c>
      <x:c r="D340" s="9" t="n">
        <x:v>0</x:v>
      </x:c>
      <x:c r="E340" s="10" t="n">
        <x:v>41</x:v>
      </x:c>
      <x:c r="F340" t="str">
        <x:v>Agency / Consultant</x:v>
      </x:c>
      <x:c r="G340" s="11" t="n">
        <x:f>C340*E340</x:f>
        <x:v>41</x:v>
      </x:c>
    </x:row>
    <x:row r="341">
      <x:c r="A341" t="str">
        <x:v>marketing company overland park</x:v>
      </x:c>
      <x:c r="B341" s="8" t="n">
        <x:v>0</x:v>
      </x:c>
      <x:c r="C341" s="8" t="n">
        <x:v>1</x:v>
      </x:c>
      <x:c r="D341" s="9" t="n">
        <x:v>0</x:v>
      </x:c>
      <x:c r="E341" s="10" t="n">
        <x:v>41</x:v>
      </x:c>
      <x:c r="F341" t="str">
        <x:v>Agency / Consultant</x:v>
      </x:c>
      <x:c r="G341" s="11" t="n">
        <x:f>C341*E341</x:f>
        <x:v>41</x:v>
      </x:c>
    </x:row>
    <x:row r="342">
      <x:c r="A342" t="str">
        <x:v>social media strategy auto repair shops</x:v>
      </x:c>
      <x:c r="B342" s="8" t="n">
        <x:v>0</x:v>
      </x:c>
      <x:c r="C342" s="8" t="n">
        <x:v>1</x:v>
      </x:c>
      <x:c r="D342" s="9" t="n">
        <x:v>0</x:v>
      </x:c>
      <x:c r="E342" s="10" t="n">
        <x:v>42</x:v>
      </x:c>
      <x:c r="F342" t="str">
        <x:v>Social Media</x:v>
      </x:c>
      <x:c r="G342" s="11" t="n">
        <x:f>C342*E342</x:f>
        <x:v>42</x:v>
      </x:c>
    </x:row>
    <x:row r="343">
      <x:c r="A343" t="str">
        <x:v>auto parts marketing agency</x:v>
      </x:c>
      <x:c r="B343" s="8" t="n">
        <x:v>0</x:v>
      </x:c>
      <x:c r="C343" s="8" t="n">
        <x:v>1</x:v>
      </x:c>
      <x:c r="D343" s="9" t="n">
        <x:v>0</x:v>
      </x:c>
      <x:c r="E343" s="10" t="n">
        <x:v>43</x:v>
      </x:c>
      <x:c r="F343" t="str">
        <x:v>Agency / Consultant</x:v>
      </x:c>
      <x:c r="G343" s="11" t="n">
        <x:f>C343*E343</x:f>
        <x:v>43</x:v>
      </x:c>
    </x:row>
    <x:row r="344">
      <x:c r="A344" t="str">
        <x:v>auto repair shop marketing strategy</x:v>
      </x:c>
      <x:c r="B344" s="8" t="n">
        <x:v>0</x:v>
      </x:c>
      <x:c r="C344" s="8" t="n">
        <x:v>1</x:v>
      </x:c>
      <x:c r="D344" s="9" t="n">
        <x:v>0</x:v>
      </x:c>
      <x:c r="E344" s="10" t="n">
        <x:v>43</x:v>
      </x:c>
      <x:c r="F344" t="str">
        <x:v>Marketing Plan / Strategy</x:v>
      </x:c>
      <x:c r="G344" s="11" t="n">
        <x:f>C344*E344</x:f>
        <x:v>43</x:v>
      </x:c>
    </x:row>
    <x:row r="345">
      <x:c r="A345" t="str">
        <x:v>auto repair shop owner marketing guide</x:v>
      </x:c>
      <x:c r="B345" s="8" t="n">
        <x:v>0</x:v>
      </x:c>
      <x:c r="C345" s="8" t="n">
        <x:v>1</x:v>
      </x:c>
      <x:c r="D345" s="9" t="n">
        <x:v>0</x:v>
      </x:c>
      <x:c r="E345" s="10" t="n">
        <x:v>45</x:v>
      </x:c>
      <x:c r="F345" t="str">
        <x:v>Core Marketing</x:v>
      </x:c>
      <x:c r="G345" s="11" t="n">
        <x:f>C345*E345</x:f>
        <x:v>45</x:v>
      </x:c>
    </x:row>
    <x:row r="346">
      <x:c r="A346" t="str">
        <x:v>multi-location marketing auto repair shops</x:v>
      </x:c>
      <x:c r="B346" s="8" t="n">
        <x:v>0</x:v>
      </x:c>
      <x:c r="C346" s="8" t="n">
        <x:v>1</x:v>
      </x:c>
      <x:c r="D346" s="9" t="n">
        <x:v>0</x:v>
      </x:c>
      <x:c r="E346" s="10" t="n">
        <x:v>45</x:v>
      </x:c>
      <x:c r="F346" t="str">
        <x:v>Multi-Location Marketing</x:v>
      </x:c>
      <x:c r="G346" s="11" t="n">
        <x:f>C346*E346</x:f>
        <x:v>45</x:v>
      </x:c>
    </x:row>
    <x:row r="347">
      <x:c r="A347" t="str">
        <x:v>crm agency overland park</x:v>
      </x:c>
      <x:c r="B347" s="8" t="n">
        <x:v>0</x:v>
      </x:c>
      <x:c r="C347" s="8" t="n">
        <x:v>1</x:v>
      </x:c>
      <x:c r="D347" s="9" t="n">
        <x:v>0</x:v>
      </x:c>
      <x:c r="E347" s="10" t="n">
        <x:v>46</x:v>
      </x:c>
      <x:c r="F347" t="str">
        <x:v>Other</x:v>
      </x:c>
      <x:c r="G347" s="11" t="n">
        <x:f>C347*E347</x:f>
        <x:v>46</x:v>
      </x:c>
    </x:row>
    <x:row r="348">
      <x:c r="A348" t="str">
        <x:v>auto repair shop mailing list</x:v>
      </x:c>
      <x:c r="B348" s="8" t="n">
        <x:v>0</x:v>
      </x:c>
      <x:c r="C348" s="8" t="n">
        <x:v>1</x:v>
      </x:c>
      <x:c r="D348" s="9" t="n">
        <x:v>0</x:v>
      </x:c>
      <x:c r="E348" s="10" t="n">
        <x:v>47</x:v>
      </x:c>
      <x:c r="F348" t="str">
        <x:v>Other</x:v>
      </x:c>
      <x:c r="G348" s="11" t="n">
        <x:f>C348*E348</x:f>
        <x:v>47</x:v>
      </x:c>
    </x:row>
    <x:row r="349">
      <x:c r="A349" t="str">
        <x:v>fractional cmo for auto repair shop</x:v>
      </x:c>
      <x:c r="B349" s="8" t="n">
        <x:v>0</x:v>
      </x:c>
      <x:c r="C349" s="8" t="n">
        <x:v>1</x:v>
      </x:c>
      <x:c r="D349" s="9" t="n">
        <x:v>0</x:v>
      </x:c>
      <x:c r="E349" s="10" t="n">
        <x:v>47</x:v>
      </x:c>
      <x:c r="F349" t="str">
        <x:v>Outsourced Marketing Director</x:v>
      </x:c>
      <x:c r="G349" s="11" t="n">
        <x:f>C349*E349</x:f>
        <x:v>47</x:v>
      </x:c>
    </x:row>
    <x:row r="350">
      <x:c r="A350" t="str">
        <x:v>auto repair social media management</x:v>
      </x:c>
      <x:c r="B350" s="8" t="n">
        <x:v>0</x:v>
      </x:c>
      <x:c r="C350" s="8" t="n">
        <x:v>1</x:v>
      </x:c>
      <x:c r="D350" s="9" t="n">
        <x:v>0</x:v>
      </x:c>
      <x:c r="E350" s="10" t="n">
        <x:v>49</x:v>
      </x:c>
      <x:c r="F350" t="str">
        <x:v>Social Media</x:v>
      </x:c>
      <x:c r="G350" s="11" t="n">
        <x:f>C350*E350</x:f>
        <x:v>49</x:v>
      </x:c>
    </x:row>
    <x:row r="351">
      <x:c r="A351" t="str">
        <x:v>multi-location marketing auto repair</x:v>
      </x:c>
      <x:c r="B351" s="8" t="n">
        <x:v>0</x:v>
      </x:c>
      <x:c r="C351" s="8" t="n">
        <x:v>1</x:v>
      </x:c>
      <x:c r="D351" s="9" t="n">
        <x:v>0</x:v>
      </x:c>
      <x:c r="E351" s="10" t="n">
        <x:v>49</x:v>
      </x:c>
      <x:c r="F351" t="str">
        <x:v>Multi-Location Marketing</x:v>
      </x:c>
      <x:c r="G351" s="11" t="n">
        <x:f>C351*E351</x:f>
        <x:v>49</x:v>
      </x:c>
    </x:row>
    <x:row r="352">
      <x:c r="A352" t="str">
        <x:v>auto repair shop marketing that works</x:v>
      </x:c>
      <x:c r="B352" s="8" t="n">
        <x:v>0</x:v>
      </x:c>
      <x:c r="C352" s="8" t="n">
        <x:v>1</x:v>
      </x:c>
      <x:c r="D352" s="9" t="n">
        <x:v>0</x:v>
      </x:c>
      <x:c r="E352" s="10" t="n">
        <x:v>50</x:v>
      </x:c>
      <x:c r="F352" t="str">
        <x:v>Core Marketing</x:v>
      </x:c>
      <x:c r="G352" s="11" t="n">
        <x:f>C352*E352</x:f>
        <x:v>50</x:v>
      </x:c>
    </x:row>
    <x:row r="353">
      <x:c r="A353" t="str">
        <x:v>auto repair shop social media content</x:v>
      </x:c>
      <x:c r="B353" s="8" t="n">
        <x:v>0</x:v>
      </x:c>
      <x:c r="C353" s="8" t="n">
        <x:v>1</x:v>
      </x:c>
      <x:c r="D353" s="9" t="n">
        <x:v>0</x:v>
      </x:c>
      <x:c r="E353" s="10" t="n">
        <x:v>50</x:v>
      </x:c>
      <x:c r="F353" t="str">
        <x:v>Social Media</x:v>
      </x:c>
      <x:c r="G353" s="11" t="n">
        <x:f>C353*E353</x:f>
        <x:v>50</x:v>
      </x:c>
    </x:row>
    <x:row r="354">
      <x:c r="A354" t="str">
        <x:v>auto repair shop mailing lists</x:v>
      </x:c>
      <x:c r="B354" s="8" t="n">
        <x:v>0</x:v>
      </x:c>
      <x:c r="C354" s="8" t="n">
        <x:v>1</x:v>
      </x:c>
      <x:c r="D354" s="9" t="n">
        <x:v>0</x:v>
      </x:c>
      <x:c r="E354" s="10" t="n">
        <x:v>51</x:v>
      </x:c>
      <x:c r="F354" t="str">
        <x:v>Other</x:v>
      </x:c>
      <x:c r="G354" s="11" t="n">
        <x:f>C354*E354</x:f>
        <x:v>51</x:v>
      </x:c>
    </x:row>
    <x:row r="355">
      <x:c r="A355" t="str">
        <x:v>automotive service mailers</x:v>
      </x:c>
      <x:c r="B355" s="8" t="n">
        <x:v>0</x:v>
      </x:c>
      <x:c r="C355" s="8" t="n">
        <x:v>1</x:v>
      </x:c>
      <x:c r="D355" s="9" t="n">
        <x:v>0</x:v>
      </x:c>
      <x:c r="E355" s="10" t="n">
        <x:v>56</x:v>
      </x:c>
      <x:c r="F355" t="str">
        <x:v>Direct Mail</x:v>
      </x:c>
      <x:c r="G355" s="11" t="n">
        <x:f>C355*E355</x:f>
        <x:v>56</x:v>
      </x:c>
    </x:row>
    <x:row r="356">
      <x:c r="A356" t="str">
        <x:v>local internet marketing for auto parts</x:v>
      </x:c>
      <x:c r="B356" s="8" t="n">
        <x:v>0</x:v>
      </x:c>
      <x:c r="C356" s="8" t="n">
        <x:v>1</x:v>
      </x:c>
      <x:c r="D356" s="9" t="n">
        <x:v>0</x:v>
      </x:c>
      <x:c r="E356" s="10" t="n">
        <x:v>58</x:v>
      </x:c>
      <x:c r="F356" t="str">
        <x:v>Digital Marketing</x:v>
      </x:c>
      <x:c r="G356" s="11" t="n">
        <x:f>C356*E356</x:f>
        <x:v>58</x:v>
      </x:c>
    </x:row>
    <x:row r="357">
      <x:c r="A357" t="str">
        <x:v>how to get more customers in my auto repair shop</x:v>
      </x:c>
      <x:c r="B357" s="8" t="n">
        <x:v>0</x:v>
      </x:c>
      <x:c r="C357" s="8" t="n">
        <x:v>1</x:v>
      </x:c>
      <x:c r="D357" s="9" t="n">
        <x:v>0</x:v>
      </x:c>
      <x:c r="E357" s="10" t="n">
        <x:v>59</x:v>
      </x:c>
      <x:c r="F357" t="str">
        <x:v>Lead Generation / Growth</x:v>
      </x:c>
      <x:c r="G357" s="11" t="n">
        <x:f>C357*E357</x:f>
        <x:v>59</x:v>
      </x:c>
    </x:row>
    <x:row r="358">
      <x:c r="A358" t="str">
        <x:v>auto shop marketing strategies</x:v>
      </x:c>
      <x:c r="B358" s="8" t="n">
        <x:v>0</x:v>
      </x:c>
      <x:c r="C358" s="8" t="n">
        <x:v>1</x:v>
      </x:c>
      <x:c r="D358" s="9" t="n">
        <x:v>0</x:v>
      </x:c>
      <x:c r="E358" s="10" t="n">
        <x:v>62</x:v>
      </x:c>
      <x:c r="F358" t="str">
        <x:v>Marketing Plan / Strategy</x:v>
      </x:c>
      <x:c r="G358" s="11" t="n">
        <x:f>C358*E358</x:f>
        <x:v>62</x:v>
      </x:c>
    </x:row>
    <x:row r="359">
      <x:c r="A359" t="str">
        <x:v>automotive direct mail company</x:v>
      </x:c>
      <x:c r="B359" s="8" t="n">
        <x:v>0</x:v>
      </x:c>
      <x:c r="C359" s="8" t="n">
        <x:v>1</x:v>
      </x:c>
      <x:c r="D359" s="9" t="n">
        <x:v>0</x:v>
      </x:c>
      <x:c r="E359" s="10" t="n">
        <x:v>62</x:v>
      </x:c>
      <x:c r="F359" t="str">
        <x:v>Direct Mail</x:v>
      </x:c>
      <x:c r="G359" s="11" t="n">
        <x:f>C359*E359</x:f>
        <x:v>62</x:v>
      </x:c>
    </x:row>
    <x:row r="360">
      <x:c r="A360" t="str">
        <x:v>direct mail for automotive</x:v>
      </x:c>
      <x:c r="B360" s="8" t="n">
        <x:v>0</x:v>
      </x:c>
      <x:c r="C360" s="8" t="n">
        <x:v>1</x:v>
      </x:c>
      <x:c r="D360" s="9" t="n">
        <x:v>0</x:v>
      </x:c>
      <x:c r="E360" s="10" t="n">
        <x:v>63</x:v>
      </x:c>
      <x:c r="F360" t="str">
        <x:v>Direct Mail</x:v>
      </x:c>
      <x:c r="G360" s="11" t="n">
        <x:f>C360*E360</x:f>
        <x:v>63</x:v>
      </x:c>
    </x:row>
    <x:row r="361">
      <x:c r="A361" t="str">
        <x:v>direct mail car</x:v>
      </x:c>
      <x:c r="B361" s="8" t="n">
        <x:v>0</x:v>
      </x:c>
      <x:c r="C361" s="8" t="n">
        <x:v>1</x:v>
      </x:c>
      <x:c r="D361" s="9" t="n">
        <x:v>0</x:v>
      </x:c>
      <x:c r="E361" s="10" t="n">
        <x:v>64</x:v>
      </x:c>
      <x:c r="F361" t="str">
        <x:v>Direct Mail</x:v>
      </x:c>
      <x:c r="G361" s="11" t="n">
        <x:f>C361*E361</x:f>
        <x:v>64</x:v>
      </x:c>
    </x:row>
    <x:row r="362">
      <x:c r="A362" t="str">
        <x:v>overland park crm agency</x:v>
      </x:c>
      <x:c r="B362" s="8" t="n">
        <x:v>0</x:v>
      </x:c>
      <x:c r="C362" s="8" t="n">
        <x:v>1</x:v>
      </x:c>
      <x:c r="D362" s="9" t="n">
        <x:v>0</x:v>
      </x:c>
      <x:c r="E362" s="10" t="n">
        <x:v>64</x:v>
      </x:c>
      <x:c r="F362" t="str">
        <x:v>Other</x:v>
      </x:c>
      <x:c r="G362" s="11" t="n">
        <x:f>C362*E362</x:f>
        <x:v>64</x:v>
      </x:c>
    </x:row>
    <x:row r="363">
      <x:c r="A363" t="str">
        <x:v>marketing ideas for auto repair shop</x:v>
      </x:c>
      <x:c r="B363" s="8" t="n">
        <x:v>0</x:v>
      </x:c>
      <x:c r="C363" s="8" t="n">
        <x:v>1</x:v>
      </x:c>
      <x:c r="D363" s="9" t="n">
        <x:v>0</x:v>
      </x:c>
      <x:c r="E363" s="10" t="n">
        <x:v>66</x:v>
      </x:c>
      <x:c r="F363" t="str">
        <x:v>Marketing Ideas</x:v>
      </x:c>
      <x:c r="G363" s="11" t="n">
        <x:f>C363*E363</x:f>
        <x:v>66</x:v>
      </x:c>
    </x:row>
    <x:row r="364">
      <x:c r="A364" t="str">
        <x:v>automotive marketing brevard county</x:v>
      </x:c>
      <x:c r="B364" s="8" t="n">
        <x:v>0</x:v>
      </x:c>
      <x:c r="C364" s="8" t="n">
        <x:v>1</x:v>
      </x:c>
      <x:c r="D364" s="9" t="n">
        <x:v>0</x:v>
      </x:c>
      <x:c r="E364" s="10" t="n">
        <x:v>69</x:v>
      </x:c>
      <x:c r="F364" t="str">
        <x:v>Core Marketing</x:v>
      </x:c>
      <x:c r="G364" s="11" t="n">
        <x:f>C364*E364</x:f>
        <x:v>69</x:v>
      </x:c>
    </x:row>
    <x:row r="365">
      <x:c r="A365" t="str">
        <x:v>car wash direct mail marketing</x:v>
      </x:c>
      <x:c r="B365" s="8" t="n">
        <x:v>0</x:v>
      </x:c>
      <x:c r="C365" s="8" t="n">
        <x:v>1</x:v>
      </x:c>
      <x:c r="D365" s="9" t="n">
        <x:v>0</x:v>
      </x:c>
      <x:c r="E365" s="10" t="n">
        <x:v>69</x:v>
      </x:c>
      <x:c r="F365" t="str">
        <x:v>Direct Mail</x:v>
      </x:c>
      <x:c r="G365" s="11" t="n">
        <x:f>C365*E365</x:f>
        <x:v>69</x:v>
      </x:c>
    </x:row>
    <x:row r="366">
      <x:c r="A366" t="str">
        <x:v>automotive mailing services</x:v>
      </x:c>
      <x:c r="B366" s="8" t="n">
        <x:v>0</x:v>
      </x:c>
      <x:c r="C366" s="8" t="n">
        <x:v>1</x:v>
      </x:c>
      <x:c r="D366" s="9" t="n">
        <x:v>0</x:v>
      </x:c>
      <x:c r="E366" s="10" t="n">
        <x:v>72</x:v>
      </x:c>
      <x:c r="F366" t="str">
        <x:v>Other</x:v>
      </x:c>
      <x:c r="G366" s="11" t="n">
        <x:f>C366*E366</x:f>
        <x:v>72</x:v>
      </x:c>
    </x:row>
    <x:row r="367">
      <x:c r="A367" t="str">
        <x:v>kansas retargeting</x:v>
      </x:c>
      <x:c r="B367" s="8" t="n">
        <x:v>0</x:v>
      </x:c>
      <x:c r="C367" s="8" t="n">
        <x:v>1</x:v>
      </x:c>
      <x:c r="D367" s="9" t="n">
        <x:v>0</x:v>
      </x:c>
      <x:c r="E367" s="10" t="n">
        <x:v>72</x:v>
      </x:c>
      <x:c r="F367" t="str">
        <x:v>Other</x:v>
      </x:c>
      <x:c r="G367" s="11" t="n">
        <x:f>C367*E367</x:f>
        <x:v>72</x:v>
      </x:c>
    </x:row>
    <x:row r="368">
      <x:c r="A368" t="str">
        <x:v>who are the best marketing companies for your auto repair shop?</x:v>
      </x:c>
      <x:c r="B368" s="8" t="n">
        <x:v>0</x:v>
      </x:c>
      <x:c r="C368" s="8" t="n">
        <x:v>1</x:v>
      </x:c>
      <x:c r="D368" s="9" t="n">
        <x:v>0</x:v>
      </x:c>
      <x:c r="E368" s="10" t="n">
        <x:v>76</x:v>
      </x:c>
      <x:c r="F368" t="str">
        <x:v>Comparison / Companies</x:v>
      </x:c>
      <x:c r="G368" s="11" t="n">
        <x:f>C368*E368</x:f>
        <x:v>76</x:v>
      </x:c>
    </x:row>
    <x:row r="369">
      <x:c r="A369" t="str">
        <x:v>online marketing for auto repair</x:v>
      </x:c>
      <x:c r="B369" s="8" t="n">
        <x:v>0</x:v>
      </x:c>
      <x:c r="C369" s="8" t="n">
        <x:v>1</x:v>
      </x:c>
      <x:c r="D369" s="9" t="n">
        <x:v>0</x:v>
      </x:c>
      <x:c r="E369" s="10" t="n">
        <x:v>77</x:v>
      </x:c>
      <x:c r="F369" t="str">
        <x:v>Other</x:v>
      </x:c>
      <x:c r="G369" s="11" t="n">
        <x:f>C369*E369</x:f>
        <x:v>77</x:v>
      </x:c>
    </x:row>
    <x:row r="370">
      <x:c r="A370" t="str">
        <x:v>automotive direct mail pieces</x:v>
      </x:c>
      <x:c r="B370" s="8" t="n">
        <x:v>0</x:v>
      </x:c>
      <x:c r="C370" s="8" t="n">
        <x:v>1</x:v>
      </x:c>
      <x:c r="D370" s="9" t="n">
        <x:v>0</x:v>
      </x:c>
      <x:c r="E370" s="10" t="n">
        <x:v>78</x:v>
      </x:c>
      <x:c r="F370" t="str">
        <x:v>Direct Mail</x:v>
      </x:c>
      <x:c r="G370" s="11" t="n">
        <x:f>C370*E370</x:f>
        <x:v>78</x:v>
      </x:c>
    </x:row>
    <x:row r="371">
      <x:c r="A371" t="str">
        <x:v>automotive direct mailers</x:v>
      </x:c>
      <x:c r="B371" s="8" t="n">
        <x:v>0</x:v>
      </x:c>
      <x:c r="C371" s="8" t="n">
        <x:v>1</x:v>
      </x:c>
      <x:c r="D371" s="9" t="n">
        <x:v>0</x:v>
      </x:c>
      <x:c r="E371" s="10" t="n">
        <x:v>79</x:v>
      </x:c>
      <x:c r="F371" t="str">
        <x:v>Direct Mail</x:v>
      </x:c>
      <x:c r="G371" s="11" t="n">
        <x:f>C371*E371</x:f>
        <x:v>79</x:v>
      </x:c>
    </x:row>
    <x:row r="372">
      <x:c r="A372" t="str">
        <x:v>automotive paid search agency lansing</x:v>
      </x:c>
      <x:c r="B372" s="8" t="n">
        <x:v>0</x:v>
      </x:c>
      <x:c r="C372" s="8" t="n">
        <x:v>1</x:v>
      </x:c>
      <x:c r="D372" s="9" t="n">
        <x:v>0</x:v>
      </x:c>
      <x:c r="E372" s="10" t="n">
        <x:v>80</x:v>
      </x:c>
      <x:c r="F372" t="str">
        <x:v>Other</x:v>
      </x:c>
      <x:c r="G372" s="11" t="n">
        <x:f>C372*E372</x:f>
        <x:v>80</x:v>
      </x:c>
    </x:row>
    <x:row r="373">
      <x:c r="A373" t="str">
        <x:v>"automotive direct mail</x:v>
      </x:c>
      <x:c r="B373" s="8" t="n">
        <x:v>0</x:v>
      </x:c>
      <x:c r="C373" s="8" t="n">
        <x:v>1</x:v>
      </x:c>
      <x:c r="D373" s="9" t="n">
        <x:v>0</x:v>
      </x:c>
      <x:c r="E373" s="10" t="n">
        <x:v>81</x:v>
      </x:c>
      <x:c r="F373" t="str">
        <x:v>Direct Mail</x:v>
      </x:c>
      <x:c r="G373" s="11" t="n">
        <x:f>C373*E373</x:f>
        <x:v>81</x:v>
      </x:c>
    </x:row>
    <x:row r="374">
      <x:c r="A374" t="str">
        <x:v>how to use video in your auto repair shop marketing</x:v>
      </x:c>
      <x:c r="B374" s="8" t="n">
        <x:v>0</x:v>
      </x:c>
      <x:c r="C374" s="8" t="n">
        <x:v>1</x:v>
      </x:c>
      <x:c r="D374" s="9" t="n">
        <x:v>0</x:v>
      </x:c>
      <x:c r="E374" s="10" t="n">
        <x:v>83</x:v>
      </x:c>
      <x:c r="F374" t="str">
        <x:v>Core Marketing</x:v>
      </x:c>
      <x:c r="G374" s="11" t="n">
        <x:f>C374*E374</x:f>
        <x:v>83</x:v>
      </x:c>
    </x:row>
    <x:row r="375">
      <x:c r="A375" t="str">
        <x:v>how to market collision repair</x:v>
      </x:c>
      <x:c r="B375" s="8" t="n">
        <x:v>0</x:v>
      </x:c>
      <x:c r="C375" s="8" t="n">
        <x:v>1</x:v>
      </x:c>
      <x:c r="D375" s="9" t="n">
        <x:v>0</x:v>
      </x:c>
      <x:c r="E375" s="10" t="n">
        <x:v>85</x:v>
      </x:c>
      <x:c r="F375" t="str">
        <x:v>Marketing Plan / Strategy</x:v>
      </x:c>
      <x:c r="G375" s="11" t="n">
        <x:f>C375*E375</x:f>
        <x:v>85</x:v>
      </x:c>
    </x:row>
    <x:row r="376">
      <x:c r="A376" t="str">
        <x:v>kansas city automotive showroom design</x:v>
      </x:c>
      <x:c r="B376" s="8" t="n">
        <x:v>0</x:v>
      </x:c>
      <x:c r="C376" s="8" t="n">
        <x:v>1</x:v>
      </x:c>
      <x:c r="D376" s="9" t="n">
        <x:v>0</x:v>
      </x:c>
      <x:c r="E376" s="10" t="n">
        <x:v>90</x:v>
      </x:c>
      <x:c r="F376" t="str">
        <x:v>Other</x:v>
      </x:c>
      <x:c r="G376" s="11" t="n">
        <x:f>C376*E376</x:f>
        <x:v>90</x:v>
      </x:c>
    </x:row>
    <x:row r="377">
      <x:c r="A377" t="str">
        <x:v>autoshopsolutions.com</x:v>
      </x:c>
      <x:c r="B377" s="8" t="n">
        <x:v>0</x:v>
      </x:c>
      <x:c r="C377" s="8" t="n">
        <x:v>1</x:v>
      </x:c>
      <x:c r="D377" s="9" t="n">
        <x:v>0</x:v>
      </x:c>
      <x:c r="E377" s="10" t="n">
        <x:v>92</x:v>
      </x:c>
      <x:c r="F377" t="str">
        <x:v>Other</x:v>
      </x:c>
      <x:c r="G377" s="11" t="n">
        <x:f>C377*E377</x:f>
        <x:v>92</x:v>
      </x:c>
    </x:row>
    <x:row r="378">
      <x:c r="A378" t="str">
        <x:v>how to coordinate in-store promotions with direct mail follow-ups</x:v>
      </x:c>
      <x:c r="B378" s="8" t="n">
        <x:v>0</x:v>
      </x:c>
      <x:c r="C378" s="8" t="n">
        <x:v>1</x:v>
      </x:c>
      <x:c r="D378" s="9" t="n">
        <x:v>0</x:v>
      </x:c>
      <x:c r="E378" s="10" t="n">
        <x:v>92</x:v>
      </x:c>
      <x:c r="F378" t="str">
        <x:v>Direct Mail</x:v>
      </x:c>
      <x:c r="G378" s="11" t="n">
        <x:f>C378*E378</x:f>
        <x:v>92</x:v>
      </x:c>
    </x:row>
    <x:row r="379">
      <x:c r="A379" t="str">
        <x:v>increase car count auto repair</x:v>
      </x:c>
      <x:c r="B379" s="8" t="n">
        <x:v>0</x:v>
      </x:c>
      <x:c r="C379" s="8" t="n">
        <x:v>1</x:v>
      </x:c>
      <x:c r="D379" s="9" t="n">
        <x:v>0</x:v>
      </x:c>
      <x:c r="E379" s="10" t="n">
        <x:v>95</x:v>
      </x:c>
      <x:c r="F379" t="str">
        <x:v>Lead Generation / Growth</x:v>
      </x:c>
      <x:c r="G379" s="11" t="n">
        <x:f>C379*E379</x:f>
        <x:v>95</x:v>
      </x:c>
    </x:row>
    <x:row r="380">
      <x:c r="A380" t="str">
        <x:v>direct mail for auto dealers</x:v>
      </x:c>
      <x:c r="B380" s="8" t="n">
        <x:v>0</x:v>
      </x:c>
      <x:c r="C380" s="8" t="n">
        <x:v>1</x:v>
      </x:c>
      <x:c r="D380" s="9" t="n">
        <x:v>0</x:v>
      </x:c>
      <x:c r="E380" s="10" t="n">
        <x:v>100</x:v>
      </x:c>
      <x:c r="F380" t="str">
        <x:v>Direct Mail</x:v>
      </x:c>
      <x:c r="G380" s="11" t="n">
        <x:f>C380*E380</x:f>
        <x:v>100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1d6ae9ddd3304f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30" hidden="0" customWidth="1"/>
    <x:col min="7" max="7" width="22" hidden="0" customWidth="1"/>
  </x:cols>
  <x:sheetData>
    <x:row r="1" ht="28" customHeight="1">
      <x:c r="A1" s="3" t="str">
        <x:v>GSC Queries 7d</x:v>
      </x:c>
      <x:c r="B1" s="3" t="str">
        <x:v>GSC Queries 7d</x:v>
      </x:c>
      <x:c r="C1" s="3" t="str">
        <x:v>GSC Queries 7d</x:v>
      </x:c>
      <x:c r="D1" s="3" t="str">
        <x:v>GSC Queries 7d</x:v>
      </x:c>
      <x:c r="E1" s="3" t="str">
        <x:v>GSC Queries 7d</x:v>
      </x:c>
      <x:c r="F1" s="3" t="str">
        <x:v>GSC Queries 7d</x:v>
      </x:c>
      <x:c r="G1" s="3" t="str">
        <x:v>GSC Queries 7d</x:v>
      </x:c>
    </x:row>
    <x:row r="2" ht="28" customHeight="1">
      <x:c r="A2" s="3" t="str">
        <x:v>GSC Queries 7d</x:v>
      </x:c>
      <x:c r="B2" s="3" t="str">
        <x:v>GSC Queries 7d</x:v>
      </x:c>
      <x:c r="C2" s="3" t="str">
        <x:v>GSC Queries 7d</x:v>
      </x:c>
      <x:c r="D2" s="3" t="str">
        <x:v>GSC Queries 7d</x:v>
      </x:c>
      <x:c r="E2" s="3" t="str">
        <x:v>GSC Queries 7d</x:v>
      </x:c>
      <x:c r="F2" s="3" t="str">
        <x:v>GSC Queries 7d</x:v>
      </x:c>
      <x:c r="G2" s="3" t="str">
        <x:v>GSC Queries 7d</x:v>
      </x:c>
    </x:row>
    <x:row r="3" ht="28" customHeight="1">
      <x:c r="A3" s="7" t="str">
        <x:v>Untouched Google Search Console query export plus two adjacent analysis helper columns.</x:v>
      </x:c>
      <x:c r="B3" s="7" t="str">
        <x:v>Untouched Google Search Console query export plus two adjacent analysis helper columns.</x:v>
      </x:c>
      <x:c r="C3" s="7" t="str">
        <x:v>Untouched Google Search Console query export plus two adjacent analysis helper columns.</x:v>
      </x:c>
      <x:c r="D3" s="7" t="str">
        <x:v>Untouched Google Search Console query export plus two adjacent analysis helper columns.</x:v>
      </x:c>
      <x:c r="E3" s="7" t="str">
        <x:v>Untouched Google Search Console query export plus two adjacent analysis helper columns.</x:v>
      </x:c>
      <x:c r="F3" s="7" t="str">
        <x:v>Untouched Google Search Console query export plus two adjacent analysis helper columns.</x:v>
      </x:c>
      <x:c r="G3" s="7" t="str">
        <x:v>Untouched Google Search Console query export plus two adjacent analysis helper columns.</x:v>
      </x:c>
    </x:row>
    <x:row r="5">
      <x:c r="A5" t="str">
        <x:v>Top queries</x:v>
      </x:c>
      <x:c r="B5" t="str">
        <x:v>Clicks</x:v>
      </x:c>
      <x:c r="C5" t="str">
        <x:v>Impressions</x:v>
      </x:c>
      <x:c r="D5" t="str">
        <x:v>CTR</x:v>
      </x:c>
      <x:c r="E5" t="str">
        <x:v>Position</x:v>
      </x:c>
      <x:c r="F5" t="str">
        <x:v>Cluster</x:v>
      </x:c>
      <x:c r="G5" t="str">
        <x:v>Impression-weighted position</x:v>
      </x:c>
    </x:row>
    <x:row r="6">
      <x:c r="A6" t="str">
        <x:v>turnkey marketing</x:v>
      </x:c>
      <x:c r="B6" s="8" t="n">
        <x:v>6</x:v>
      </x:c>
      <x:c r="C6" s="8" t="n">
        <x:v>89</x:v>
      </x:c>
      <x:c r="D6" s="9" t="n">
        <x:v>0.0674</x:v>
      </x:c>
      <x:c r="E6" s="10" t="n">
        <x:v>1.47</x:v>
      </x:c>
      <x:c r="F6" t="str">
        <x:v>Branded</x:v>
      </x:c>
      <x:c r="G6" s="11" t="n">
        <x:f>C6*E6</x:f>
        <x:v>130.82999999999998</x:v>
      </x:c>
    </x:row>
    <x:row r="7">
      <x:c r="A7" t="str">
        <x:v>turnkeyautomarketing.com</x:v>
      </x:c>
      <x:c r="B7" s="8" t="n">
        <x:v>2</x:v>
      </x:c>
      <x:c r="C7" s="8" t="n">
        <x:v>9</x:v>
      </x:c>
      <x:c r="D7" s="9" t="n">
        <x:v>0.22219999999999998</x:v>
      </x:c>
      <x:c r="E7" s="10" t="n">
        <x:v>1</x:v>
      </x:c>
      <x:c r="F7" t="str">
        <x:v>Branded</x:v>
      </x:c>
      <x:c r="G7" s="11" t="n">
        <x:f>C7*E7</x:f>
        <x:v>9</x:v>
      </x:c>
    </x:row>
    <x:row r="8">
      <x:c r="A8" t="str">
        <x:v>turnkey marketing management</x:v>
      </x:c>
      <x:c r="B8" s="8" t="n">
        <x:v>0</x:v>
      </x:c>
      <x:c r="C8" s="8" t="n">
        <x:v>109</x:v>
      </x:c>
      <x:c r="D8" s="9" t="n">
        <x:v>0</x:v>
      </x:c>
      <x:c r="E8" s="10" t="n">
        <x:v>7.42</x:v>
      </x:c>
      <x:c r="F8" t="str">
        <x:v>Branded</x:v>
      </x:c>
      <x:c r="G8" s="11" t="n">
        <x:f>C8*E8</x:f>
        <x:v>808.78</x:v>
      </x:c>
    </x:row>
    <x:row r="9">
      <x:c r="A9" t="str">
        <x:v>turnkey marketing solutions</x:v>
      </x:c>
      <x:c r="B9" s="8" t="n">
        <x:v>0</x:v>
      </x:c>
      <x:c r="C9" s="8" t="n">
        <x:v>82</x:v>
      </x:c>
      <x:c r="D9" s="9" t="n">
        <x:v>0</x:v>
      </x:c>
      <x:c r="E9" s="10" t="n">
        <x:v>4.27</x:v>
      </x:c>
      <x:c r="F9" t="str">
        <x:v>Branded</x:v>
      </x:c>
      <x:c r="G9" s="11" t="n">
        <x:f>C9*E9</x:f>
        <x:v>350.14</x:v>
      </x:c>
    </x:row>
    <x:row r="10">
      <x:c r="A10" t="str">
        <x:v>turnkey digital marketing</x:v>
      </x:c>
      <x:c r="B10" s="8" t="n">
        <x:v>0</x:v>
      </x:c>
      <x:c r="C10" s="8" t="n">
        <x:v>76</x:v>
      </x:c>
      <x:c r="D10" s="9" t="n">
        <x:v>0</x:v>
      </x:c>
      <x:c r="E10" s="10" t="n">
        <x:v>5.92</x:v>
      </x:c>
      <x:c r="F10" t="str">
        <x:v>Branded</x:v>
      </x:c>
      <x:c r="G10" s="11" t="n">
        <x:f>C10*E10</x:f>
        <x:v>449.92</x:v>
      </x:c>
    </x:row>
    <x:row r="11">
      <x:c r="A11" t="str">
        <x:v>auto repair marketing companies</x:v>
      </x:c>
      <x:c r="B11" s="8" t="n">
        <x:v>0</x:v>
      </x:c>
      <x:c r="C11" s="8" t="n">
        <x:v>76</x:v>
      </x:c>
      <x:c r="D11" s="9" t="n">
        <x:v>0</x:v>
      </x:c>
      <x:c r="E11" s="10" t="n">
        <x:v>21.91</x:v>
      </x:c>
      <x:c r="F11" t="str">
        <x:v>Comparison / Companies</x:v>
      </x:c>
      <x:c r="G11" s="11" t="n">
        <x:f>C11*E11</x:f>
        <x:v>1665.16</x:v>
      </x:c>
    </x:row>
    <x:row r="12">
      <x:c r="A12" t="str">
        <x:v>auto repair marketing</x:v>
      </x:c>
      <x:c r="B12" s="8" t="n">
        <x:v>0</x:v>
      </x:c>
      <x:c r="C12" s="8" t="n">
        <x:v>65</x:v>
      </x:c>
      <x:c r="D12" s="9" t="n">
        <x:v>0</x:v>
      </x:c>
      <x:c r="E12" s="10" t="n">
        <x:v>43.06</x:v>
      </x:c>
      <x:c r="F12" t="str">
        <x:v>Core Marketing</x:v>
      </x:c>
      <x:c r="G12" s="11" t="n">
        <x:f>C12*E12</x:f>
        <x:v>2798.9</x:v>
      </x:c>
    </x:row>
    <x:row r="13">
      <x:c r="A13" t="str">
        <x:v>auto repair digital marketing</x:v>
      </x:c>
      <x:c r="B13" s="8" t="n">
        <x:v>0</x:v>
      </x:c>
      <x:c r="C13" s="8" t="n">
        <x:v>55</x:v>
      </x:c>
      <x:c r="D13" s="9" t="n">
        <x:v>0</x:v>
      </x:c>
      <x:c r="E13" s="10" t="n">
        <x:v>48.45</x:v>
      </x:c>
      <x:c r="F13" t="str">
        <x:v>Digital Marketing</x:v>
      </x:c>
      <x:c r="G13" s="11" t="n">
        <x:f>C13*E13</x:f>
        <x:v>2664.75</x:v>
      </x:c>
    </x:row>
    <x:row r="14">
      <x:c r="A14" t="str">
        <x:v>auto repair marketing plan</x:v>
      </x:c>
      <x:c r="B14" s="8" t="n">
        <x:v>0</x:v>
      </x:c>
      <x:c r="C14" s="8" t="n">
        <x:v>44</x:v>
      </x:c>
      <x:c r="D14" s="9" t="n">
        <x:v>0</x:v>
      </x:c>
      <x:c r="E14" s="10" t="n">
        <x:v>16.93</x:v>
      </x:c>
      <x:c r="F14" t="str">
        <x:v>Marketing Plan / Strategy</x:v>
      </x:c>
      <x:c r="G14" s="11" t="n">
        <x:f>C14*E14</x:f>
        <x:v>744.92</x:v>
      </x:c>
    </x:row>
    <x:row r="15">
      <x:c r="A15" t="str">
        <x:v>auto repair shop marketing agency</x:v>
      </x:c>
      <x:c r="B15" s="8" t="n">
        <x:v>0</x:v>
      </x:c>
      <x:c r="C15" s="8" t="n">
        <x:v>35</x:v>
      </x:c>
      <x:c r="D15" s="9" t="n">
        <x:v>0</x:v>
      </x:c>
      <x:c r="E15" s="10" t="n">
        <x:v>21.03</x:v>
      </x:c>
      <x:c r="F15" t="str">
        <x:v>Agency / Consultant</x:v>
      </x:c>
      <x:c r="G15" s="11" t="n">
        <x:f>C15*E15</x:f>
        <x:v>736.0500000000001</x:v>
      </x:c>
    </x:row>
    <x:row r="16">
      <x:c r="A16" t="str">
        <x:v>auto repair marketing agency</x:v>
      </x:c>
      <x:c r="B16" s="8" t="n">
        <x:v>0</x:v>
      </x:c>
      <x:c r="C16" s="8" t="n">
        <x:v>33</x:v>
      </x:c>
      <x:c r="D16" s="9" t="n">
        <x:v>0</x:v>
      </x:c>
      <x:c r="E16" s="10" t="n">
        <x:v>25.09</x:v>
      </x:c>
      <x:c r="F16" t="str">
        <x:v>Agency / Consultant</x:v>
      </x:c>
      <x:c r="G16" s="11" t="n">
        <x:f>C16*E16</x:f>
        <x:v>827.97</x:v>
      </x:c>
    </x:row>
    <x:row r="17">
      <x:c r="A17" t="str">
        <x:v>auto repair direct mail</x:v>
      </x:c>
      <x:c r="B17" s="8" t="n">
        <x:v>0</x:v>
      </x:c>
      <x:c r="C17" s="8" t="n">
        <x:v>33</x:v>
      </x:c>
      <x:c r="D17" s="9" t="n">
        <x:v>0</x:v>
      </x:c>
      <x:c r="E17" s="10" t="n">
        <x:v>31.42</x:v>
      </x:c>
      <x:c r="F17" t="str">
        <x:v>Direct Mail</x:v>
      </x:c>
      <x:c r="G17" s="11" t="n">
        <x:f>C17*E17</x:f>
        <x:v>1036.8600000000001</x:v>
      </x:c>
    </x:row>
    <x:row r="18">
      <x:c r="A18" t="str">
        <x:v>auto repair shop direct mail</x:v>
      </x:c>
      <x:c r="B18" s="8" t="n">
        <x:v>0</x:v>
      </x:c>
      <x:c r="C18" s="8" t="n">
        <x:v>30</x:v>
      </x:c>
      <x:c r="D18" s="9" t="n">
        <x:v>0</x:v>
      </x:c>
      <x:c r="E18" s="10" t="n">
        <x:v>28</x:v>
      </x:c>
      <x:c r="F18" t="str">
        <x:v>Direct Mail</x:v>
      </x:c>
      <x:c r="G18" s="11" t="n">
        <x:f>C18*E18</x:f>
        <x:v>840</x:v>
      </x:c>
    </x:row>
    <x:row r="19">
      <x:c r="A19" t="str">
        <x:v>digital marketing for auto repair shops</x:v>
      </x:c>
      <x:c r="B19" s="8" t="n">
        <x:v>0</x:v>
      </x:c>
      <x:c r="C19" s="8" t="n">
        <x:v>30</x:v>
      </x:c>
      <x:c r="D19" s="9" t="n">
        <x:v>0</x:v>
      </x:c>
      <x:c r="E19" s="10" t="n">
        <x:v>57.8</x:v>
      </x:c>
      <x:c r="F19" t="str">
        <x:v>Digital Marketing</x:v>
      </x:c>
      <x:c r="G19" s="11" t="n">
        <x:f>C19*E19</x:f>
        <x:v>1734</x:v>
      </x:c>
    </x:row>
    <x:row r="20">
      <x:c r="A20" t="str">
        <x:v>automotive service marketing</x:v>
      </x:c>
      <x:c r="B20" s="8" t="n">
        <x:v>0</x:v>
      </x:c>
      <x:c r="C20" s="8" t="n">
        <x:v>29</x:v>
      </x:c>
      <x:c r="D20" s="9" t="n">
        <x:v>0</x:v>
      </x:c>
      <x:c r="E20" s="10" t="n">
        <x:v>19.9</x:v>
      </x:c>
      <x:c r="F20" t="str">
        <x:v>Core Marketing</x:v>
      </x:c>
      <x:c r="G20" s="11" t="n">
        <x:f>C20*E20</x:f>
        <x:v>577.0999999999999</x:v>
      </x:c>
    </x:row>
    <x:row r="21">
      <x:c r="A21" t="str">
        <x:v>marketing agency near me</x:v>
      </x:c>
      <x:c r="B21" s="8" t="n">
        <x:v>0</x:v>
      </x:c>
      <x:c r="C21" s="8" t="n">
        <x:v>27</x:v>
      </x:c>
      <x:c r="D21" s="9" t="n">
        <x:v>0</x:v>
      </x:c>
      <x:c r="E21" s="10" t="n">
        <x:v>1</x:v>
      </x:c>
      <x:c r="F21" t="str">
        <x:v>Agency / Consultant</x:v>
      </x:c>
      <x:c r="G21" s="11" t="n">
        <x:f>C21*E21</x:f>
        <x:v>27</x:v>
      </x:c>
    </x:row>
    <x:row r="22">
      <x:c r="A22" t="str">
        <x:v>auto repair internet marketing</x:v>
      </x:c>
      <x:c r="B22" s="8" t="n">
        <x:v>0</x:v>
      </x:c>
      <x:c r="C22" s="8" t="n">
        <x:v>27</x:v>
      </x:c>
      <x:c r="D22" s="9" t="n">
        <x:v>0</x:v>
      </x:c>
      <x:c r="E22" s="10" t="n">
        <x:v>38.44</x:v>
      </x:c>
      <x:c r="F22" t="str">
        <x:v>Digital Marketing</x:v>
      </x:c>
      <x:c r="G22" s="11" t="n">
        <x:f>C22*E22</x:f>
        <x:v>1037.8799999999999</x:v>
      </x:c>
    </x:row>
    <x:row r="23">
      <x:c r="A23" t="str">
        <x:v>auto shop marketing agency</x:v>
      </x:c>
      <x:c r="B23" s="8" t="n">
        <x:v>0</x:v>
      </x:c>
      <x:c r="C23" s="8" t="n">
        <x:v>26</x:v>
      </x:c>
      <x:c r="D23" s="9" t="n">
        <x:v>0</x:v>
      </x:c>
      <x:c r="E23" s="10" t="n">
        <x:v>21.04</x:v>
      </x:c>
      <x:c r="F23" t="str">
        <x:v>Agency / Consultant</x:v>
      </x:c>
      <x:c r="G23" s="11" t="n">
        <x:f>C23*E23</x:f>
        <x:v>547.04</x:v>
      </x:c>
    </x:row>
    <x:row r="24">
      <x:c r="A24" t="str">
        <x:v>auto repair marketing strategies</x:v>
      </x:c>
      <x:c r="B24" s="8" t="n">
        <x:v>0</x:v>
      </x:c>
      <x:c r="C24" s="8" t="n">
        <x:v>25</x:v>
      </x:c>
      <x:c r="D24" s="9" t="n">
        <x:v>0</x:v>
      </x:c>
      <x:c r="E24" s="10" t="n">
        <x:v>29.84</x:v>
      </x:c>
      <x:c r="F24" t="str">
        <x:v>Marketing Plan / Strategy</x:v>
      </x:c>
      <x:c r="G24" s="11" t="n">
        <x:f>C24*E24</x:f>
        <x:v>746</x:v>
      </x:c>
    </x:row>
    <x:row r="25">
      <x:c r="A25" t="str">
        <x:v>auto repair ppc agency</x:v>
      </x:c>
      <x:c r="B25" s="8" t="n">
        <x:v>0</x:v>
      </x:c>
      <x:c r="C25" s="8" t="n">
        <x:v>22</x:v>
      </x:c>
      <x:c r="D25" s="9" t="n">
        <x:v>0</x:v>
      </x:c>
      <x:c r="E25" s="10" t="n">
        <x:v>41.14</x:v>
      </x:c>
      <x:c r="F25" t="str">
        <x:v>Other</x:v>
      </x:c>
      <x:c r="G25" s="11" t="n">
        <x:f>C25*E25</x:f>
        <x:v>905.08</x:v>
      </x:c>
    </x:row>
    <x:row r="26">
      <x:c r="A26" t="str">
        <x:v>auto repair business marketing</x:v>
      </x:c>
      <x:c r="B26" s="8" t="n">
        <x:v>0</x:v>
      </x:c>
      <x:c r="C26" s="8" t="n">
        <x:v>22</x:v>
      </x:c>
      <x:c r="D26" s="9" t="n">
        <x:v>0</x:v>
      </x:c>
      <x:c r="E26" s="10" t="n">
        <x:v>54.09</x:v>
      </x:c>
      <x:c r="F26" t="str">
        <x:v>Core Marketing</x:v>
      </x:c>
      <x:c r="G26" s="11" t="n">
        <x:f>C26*E26</x:f>
        <x:v>1189.98</x:v>
      </x:c>
    </x:row>
    <x:row r="27">
      <x:c r="A27" t="str">
        <x:v>marketing for auto repair shops</x:v>
      </x:c>
      <x:c r="B27" s="8" t="n">
        <x:v>0</x:v>
      </x:c>
      <x:c r="C27" s="8" t="n">
        <x:v>21</x:v>
      </x:c>
      <x:c r="D27" s="9" t="n">
        <x:v>0</x:v>
      </x:c>
      <x:c r="E27" s="10" t="n">
        <x:v>54.1</x:v>
      </x:c>
      <x:c r="F27" t="str">
        <x:v>Other</x:v>
      </x:c>
      <x:c r="G27" s="11" t="n">
        <x:f>C27*E27</x:f>
        <x:v>1136.1000000000001</x:v>
      </x:c>
    </x:row>
    <x:row r="28">
      <x:c r="A28" t="str">
        <x:v>auto repair marketing company</x:v>
      </x:c>
      <x:c r="B28" s="8" t="n">
        <x:v>0</x:v>
      </x:c>
      <x:c r="C28" s="8" t="n">
        <x:v>20</x:v>
      </x:c>
      <x:c r="D28" s="9" t="n">
        <x:v>0</x:v>
      </x:c>
      <x:c r="E28" s="10" t="n">
        <x:v>22.75</x:v>
      </x:c>
      <x:c r="F28" t="str">
        <x:v>Agency / Consultant</x:v>
      </x:c>
      <x:c r="G28" s="11" t="n">
        <x:f>C28*E28</x:f>
        <x:v>455</x:v>
      </x:c>
    </x:row>
    <x:row r="29">
      <x:c r="A29" t="str">
        <x:v>marketing plan for auto repair shop</x:v>
      </x:c>
      <x:c r="B29" s="8" t="n">
        <x:v>0</x:v>
      </x:c>
      <x:c r="C29" s="8" t="n">
        <x:v>20</x:v>
      </x:c>
      <x:c r="D29" s="9" t="n">
        <x:v>0</x:v>
      </x:c>
      <x:c r="E29" s="10" t="n">
        <x:v>26.2</x:v>
      </x:c>
      <x:c r="F29" t="str">
        <x:v>Marketing Plan / Strategy</x:v>
      </x:c>
      <x:c r="G29" s="11" t="n">
        <x:f>C29*E29</x:f>
        <x:v>524</x:v>
      </x:c>
    </x:row>
    <x:row r="30">
      <x:c r="A30" t="str">
        <x:v>auto repair shop marketing plan</x:v>
      </x:c>
      <x:c r="B30" s="8" t="n">
        <x:v>0</x:v>
      </x:c>
      <x:c r="C30" s="8" t="n">
        <x:v>20</x:v>
      </x:c>
      <x:c r="D30" s="9" t="n">
        <x:v>0</x:v>
      </x:c>
      <x:c r="E30" s="10" t="n">
        <x:v>33.45</x:v>
      </x:c>
      <x:c r="F30" t="str">
        <x:v>Marketing Plan / Strategy</x:v>
      </x:c>
      <x:c r="G30" s="11" t="n">
        <x:f>C30*E30</x:f>
        <x:v>669</x:v>
      </x:c>
    </x:row>
    <x:row r="31">
      <x:c r="A31" t="str">
        <x:v>social media for auto repair shops</x:v>
      </x:c>
      <x:c r="B31" s="8" t="n">
        <x:v>0</x:v>
      </x:c>
      <x:c r="C31" s="8" t="n">
        <x:v>20</x:v>
      </x:c>
      <x:c r="D31" s="9" t="n">
        <x:v>0</x:v>
      </x:c>
      <x:c r="E31" s="10" t="n">
        <x:v>39.8</x:v>
      </x:c>
      <x:c r="F31" t="str">
        <x:v>Social Media</x:v>
      </x:c>
      <x:c r="G31" s="11" t="n">
        <x:f>C31*E31</x:f>
        <x:v>796</x:v>
      </x:c>
    </x:row>
    <x:row r="32">
      <x:c r="A32" t="str">
        <x:v>turnkey auto repair</x:v>
      </x:c>
      <x:c r="B32" s="8" t="n">
        <x:v>0</x:v>
      </x:c>
      <x:c r="C32" s="8" t="n">
        <x:v>19</x:v>
      </x:c>
      <x:c r="D32" s="9" t="n">
        <x:v>0</x:v>
      </x:c>
      <x:c r="E32" s="10" t="n">
        <x:v>5.21</x:v>
      </x:c>
      <x:c r="F32" t="str">
        <x:v>Branded</x:v>
      </x:c>
      <x:c r="G32" s="11" t="n">
        <x:f>C32*E32</x:f>
        <x:v>98.99</x:v>
      </x:c>
    </x:row>
    <x:row r="33">
      <x:c r="A33" t="str">
        <x:v>auto repair marketing services</x:v>
      </x:c>
      <x:c r="B33" s="8" t="n">
        <x:v>0</x:v>
      </x:c>
      <x:c r="C33" s="8" t="n">
        <x:v>19</x:v>
      </x:c>
      <x:c r="D33" s="9" t="n">
        <x:v>0</x:v>
      </x:c>
      <x:c r="E33" s="10" t="n">
        <x:v>22.26</x:v>
      </x:c>
      <x:c r="F33" t="str">
        <x:v>Marketing Services</x:v>
      </x:c>
      <x:c r="G33" s="11" t="n">
        <x:f>C33*E33</x:f>
        <x:v>422.94000000000005</x:v>
      </x:c>
    </x:row>
    <x:row r="34">
      <x:c r="A34" t="str">
        <x:v>turnkey-marketing</x:v>
      </x:c>
      <x:c r="B34" s="8" t="n">
        <x:v>0</x:v>
      </x:c>
      <x:c r="C34" s="8" t="n">
        <x:v>18</x:v>
      </x:c>
      <x:c r="D34" s="9" t="n">
        <x:v>0</x:v>
      </x:c>
      <x:c r="E34" s="10" t="n">
        <x:v>6.39</x:v>
      </x:c>
      <x:c r="F34" t="str">
        <x:v>Branded</x:v>
      </x:c>
      <x:c r="G34" s="11" t="n">
        <x:f>C34*E34</x:f>
        <x:v>115.02</x:v>
      </x:c>
    </x:row>
    <x:row r="35">
      <x:c r="A35" t="str">
        <x:v>mechanic marketing agency</x:v>
      </x:c>
      <x:c r="B35" s="8" t="n">
        <x:v>0</x:v>
      </x:c>
      <x:c r="C35" s="8" t="n">
        <x:v>18</x:v>
      </x:c>
      <x:c r="D35" s="9" t="n">
        <x:v>0</x:v>
      </x:c>
      <x:c r="E35" s="10" t="n">
        <x:v>18.83</x:v>
      </x:c>
      <x:c r="F35" t="str">
        <x:v>Agency / Consultant</x:v>
      </x:c>
      <x:c r="G35" s="11" t="n">
        <x:f>C35*E35</x:f>
        <x:v>338.93999999999994</x:v>
      </x:c>
    </x:row>
    <x:row r="36">
      <x:c r="A36" t="str">
        <x:v>auto repair social media marketing</x:v>
      </x:c>
      <x:c r="B36" s="8" t="n">
        <x:v>0</x:v>
      </x:c>
      <x:c r="C36" s="8" t="n">
        <x:v>18</x:v>
      </x:c>
      <x:c r="D36" s="9" t="n">
        <x:v>0</x:v>
      </x:c>
      <x:c r="E36" s="10" t="n">
        <x:v>40.89</x:v>
      </x:c>
      <x:c r="F36" t="str">
        <x:v>Social Media</x:v>
      </x:c>
      <x:c r="G36" s="11" t="n">
        <x:f>C36*E36</x:f>
        <x:v>736.02</x:v>
      </x:c>
    </x:row>
    <x:row r="37">
      <x:c r="A37" t="str">
        <x:v>outsourced marketing director auto repair</x:v>
      </x:c>
      <x:c r="B37" s="8" t="n">
        <x:v>0</x:v>
      </x:c>
      <x:c r="C37" s="8" t="n">
        <x:v>15</x:v>
      </x:c>
      <x:c r="D37" s="9" t="n">
        <x:v>0</x:v>
      </x:c>
      <x:c r="E37" s="10" t="n">
        <x:v>3.53</x:v>
      </x:c>
      <x:c r="F37" t="str">
        <x:v>Outsourced Marketing Director</x:v>
      </x:c>
      <x:c r="G37" s="11" t="n">
        <x:f>C37*E37</x:f>
        <x:v>52.949999999999996</x:v>
      </x:c>
    </x:row>
    <x:row r="38">
      <x:c r="A38" t="str">
        <x:v>turnkey agency</x:v>
      </x:c>
      <x:c r="B38" s="8" t="n">
        <x:v>0</x:v>
      </x:c>
      <x:c r="C38" s="8" t="n">
        <x:v>15</x:v>
      </x:c>
      <x:c r="D38" s="9" t="n">
        <x:v>0</x:v>
      </x:c>
      <x:c r="E38" s="10" t="n">
        <x:v>10.4</x:v>
      </x:c>
      <x:c r="F38" t="str">
        <x:v>Branded</x:v>
      </x:c>
      <x:c r="G38" s="11" t="n">
        <x:f>C38*E38</x:f>
        <x:v>156</x:v>
      </x:c>
    </x:row>
    <x:row r="39">
      <x:c r="A39" t="str">
        <x:v>auto repair marketing director</x:v>
      </x:c>
      <x:c r="B39" s="8" t="n">
        <x:v>0</x:v>
      </x:c>
      <x:c r="C39" s="8" t="n">
        <x:v>15</x:v>
      </x:c>
      <x:c r="D39" s="9" t="n">
        <x:v>0</x:v>
      </x:c>
      <x:c r="E39" s="10" t="n">
        <x:v>14.6</x:v>
      </x:c>
      <x:c r="F39" t="str">
        <x:v>Outsourced Marketing Director</x:v>
      </x:c>
      <x:c r="G39" s="11" t="n">
        <x:f>C39*E39</x:f>
        <x:v>219</x:v>
      </x:c>
    </x:row>
    <x:row r="40">
      <x:c r="A40" t="str">
        <x:v>direct mail for auto repair shops</x:v>
      </x:c>
      <x:c r="B40" s="8" t="n">
        <x:v>0</x:v>
      </x:c>
      <x:c r="C40" s="8" t="n">
        <x:v>15</x:v>
      </x:c>
      <x:c r="D40" s="9" t="n">
        <x:v>0</x:v>
      </x:c>
      <x:c r="E40" s="10" t="n">
        <x:v>21.8</x:v>
      </x:c>
      <x:c r="F40" t="str">
        <x:v>Direct Mail</x:v>
      </x:c>
      <x:c r="G40" s="11" t="n">
        <x:f>C40*E40</x:f>
        <x:v>327</x:v>
      </x:c>
    </x:row>
    <x:row r="41">
      <x:c r="A41" t="str">
        <x:v>social media marketing for auto repair shops</x:v>
      </x:c>
      <x:c r="B41" s="8" t="n">
        <x:v>0</x:v>
      </x:c>
      <x:c r="C41" s="8" t="n">
        <x:v>15</x:v>
      </x:c>
      <x:c r="D41" s="9" t="n">
        <x:v>0</x:v>
      </x:c>
      <x:c r="E41" s="10" t="n">
        <x:v>37.33</x:v>
      </x:c>
      <x:c r="F41" t="str">
        <x:v>Social Media</x:v>
      </x:c>
      <x:c r="G41" s="11" t="n">
        <x:f>C41*E41</x:f>
        <x:v>559.9499999999999</x:v>
      </x:c>
    </x:row>
    <x:row r="42">
      <x:c r="A42" t="str">
        <x:v>automotive direct mail marketing</x:v>
      </x:c>
      <x:c r="B42" s="8" t="n">
        <x:v>0</x:v>
      </x:c>
      <x:c r="C42" s="8" t="n">
        <x:v>15</x:v>
      </x:c>
      <x:c r="D42" s="9" t="n">
        <x:v>0</x:v>
      </x:c>
      <x:c r="E42" s="10" t="n">
        <x:v>81.8</x:v>
      </x:c>
      <x:c r="F42" t="str">
        <x:v>Direct Mail</x:v>
      </x:c>
      <x:c r="G42" s="11" t="n">
        <x:f>C42*E42</x:f>
        <x:v>1227</x:v>
      </x:c>
    </x:row>
    <x:row r="43">
      <x:c r="A43" t="str">
        <x:v>auto repair marketing consultant</x:v>
      </x:c>
      <x:c r="B43" s="8" t="n">
        <x:v>0</x:v>
      </x:c>
      <x:c r="C43" s="8" t="n">
        <x:v>14</x:v>
      </x:c>
      <x:c r="D43" s="9" t="n">
        <x:v>0</x:v>
      </x:c>
      <x:c r="E43" s="10" t="n">
        <x:v>17.57</x:v>
      </x:c>
      <x:c r="F43" t="str">
        <x:v>Agency / Consultant</x:v>
      </x:c>
      <x:c r="G43" s="11" t="n">
        <x:f>C43*E43</x:f>
        <x:v>245.98000000000002</x:v>
      </x:c>
    </x:row>
    <x:row r="44">
      <x:c r="A44" t="str">
        <x:v>marketing agency for auto repair shops</x:v>
      </x:c>
      <x:c r="B44" s="8" t="n">
        <x:v>0</x:v>
      </x:c>
      <x:c r="C44" s="8" t="n">
        <x:v>14</x:v>
      </x:c>
      <x:c r="D44" s="9" t="n">
        <x:v>0</x:v>
      </x:c>
      <x:c r="E44" s="10" t="n">
        <x:v>20.07</x:v>
      </x:c>
      <x:c r="F44" t="str">
        <x:v>Agency / Consultant</x:v>
      </x:c>
      <x:c r="G44" s="11" t="n">
        <x:f>C44*E44</x:f>
        <x:v>280.98</x:v>
      </x:c>
    </x:row>
    <x:row r="45">
      <x:c r="A45" t="str">
        <x:v>car repair marketing agency</x:v>
      </x:c>
      <x:c r="B45" s="8" t="n">
        <x:v>0</x:v>
      </x:c>
      <x:c r="C45" s="8" t="n">
        <x:v>14</x:v>
      </x:c>
      <x:c r="D45" s="9" t="n">
        <x:v>0</x:v>
      </x:c>
      <x:c r="E45" s="10" t="n">
        <x:v>22.71</x:v>
      </x:c>
      <x:c r="F45" t="str">
        <x:v>Agency / Consultant</x:v>
      </x:c>
      <x:c r="G45" s="11" t="n">
        <x:f>C45*E45</x:f>
        <x:v>317.94</x:v>
      </x:c>
    </x:row>
    <x:row r="46">
      <x:c r="A46" t="str">
        <x:v>auto repair shop postcard marketing</x:v>
      </x:c>
      <x:c r="B46" s="8" t="n">
        <x:v>0</x:v>
      </x:c>
      <x:c r="C46" s="8" t="n">
        <x:v>14</x:v>
      </x:c>
      <x:c r="D46" s="9" t="n">
        <x:v>0</x:v>
      </x:c>
      <x:c r="E46" s="10" t="n">
        <x:v>32.57</x:v>
      </x:c>
      <x:c r="F46" t="str">
        <x:v>Direct Mail</x:v>
      </x:c>
      <x:c r="G46" s="11" t="n">
        <x:f>C46*E46</x:f>
        <x:v>455.98</x:v>
      </x:c>
    </x:row>
    <x:row r="47">
      <x:c r="A47" t="str">
        <x:v>automotive repair marketing</x:v>
      </x:c>
      <x:c r="B47" s="8" t="n">
        <x:v>0</x:v>
      </x:c>
      <x:c r="C47" s="8" t="n">
        <x:v>14</x:v>
      </x:c>
      <x:c r="D47" s="9" t="n">
        <x:v>0</x:v>
      </x:c>
      <x:c r="E47" s="10" t="n">
        <x:v>59.29</x:v>
      </x:c>
      <x:c r="F47" t="str">
        <x:v>Core Marketing</x:v>
      </x:c>
      <x:c r="G47" s="11" t="n">
        <x:f>C47*E47</x:f>
        <x:v>830.06</x:v>
      </x:c>
    </x:row>
    <x:row r="48">
      <x:c r="A48" t="str">
        <x:v>turn key auto service</x:v>
      </x:c>
      <x:c r="B48" s="8" t="n">
        <x:v>0</x:v>
      </x:c>
      <x:c r="C48" s="8" t="n">
        <x:v>13</x:v>
      </x:c>
      <x:c r="D48" s="9" t="n">
        <x:v>0</x:v>
      </x:c>
      <x:c r="E48" s="10" t="n">
        <x:v>9.31</x:v>
      </x:c>
      <x:c r="F48" t="str">
        <x:v>Other</x:v>
      </x:c>
      <x:c r="G48" s="11" t="n">
        <x:f>C48*E48</x:f>
        <x:v>121.03</x:v>
      </x:c>
    </x:row>
    <x:row r="49">
      <x:c r="A49" t="str">
        <x:v>auto repair advertising company</x:v>
      </x:c>
      <x:c r="B49" s="8" t="n">
        <x:v>0</x:v>
      </x:c>
      <x:c r="C49" s="8" t="n">
        <x:v>13</x:v>
      </x:c>
      <x:c r="D49" s="9" t="n">
        <x:v>0</x:v>
      </x:c>
      <x:c r="E49" s="10" t="n">
        <x:v>17.85</x:v>
      </x:c>
      <x:c r="F49" t="str">
        <x:v>Core Marketing</x:v>
      </x:c>
      <x:c r="G49" s="11" t="n">
        <x:f>C49*E49</x:f>
        <x:v>232.05</x:v>
      </x:c>
    </x:row>
    <x:row r="50">
      <x:c r="A50" t="str">
        <x:v>auto repair postcard marketing</x:v>
      </x:c>
      <x:c r="B50" s="8" t="n">
        <x:v>0</x:v>
      </x:c>
      <x:c r="C50" s="8" t="n">
        <x:v>13</x:v>
      </x:c>
      <x:c r="D50" s="9" t="n">
        <x:v>0</x:v>
      </x:c>
      <x:c r="E50" s="10" t="n">
        <x:v>38.15</x:v>
      </x:c>
      <x:c r="F50" t="str">
        <x:v>Direct Mail</x:v>
      </x:c>
      <x:c r="G50" s="11" t="n">
        <x:f>C50*E50</x:f>
        <x:v>495.95</x:v>
      </x:c>
    </x:row>
    <x:row r="51">
      <x:c r="A51" t="str">
        <x:v>auto repair ppc management</x:v>
      </x:c>
      <x:c r="B51" s="8" t="n">
        <x:v>0</x:v>
      </x:c>
      <x:c r="C51" s="8" t="n">
        <x:v>13</x:v>
      </x:c>
      <x:c r="D51" s="9" t="n">
        <x:v>0</x:v>
      </x:c>
      <x:c r="E51" s="10" t="n">
        <x:v>84.46</x:v>
      </x:c>
      <x:c r="F51" t="str">
        <x:v>Other</x:v>
      </x:c>
      <x:c r="G51" s="11" t="n">
        <x:f>C51*E51</x:f>
        <x:v>1097.98</x:v>
      </x:c>
    </x:row>
    <x:row r="52">
      <x:c r="A52" t="str">
        <x:v>marketing agency</x:v>
      </x:c>
      <x:c r="B52" s="8" t="n">
        <x:v>0</x:v>
      </x:c>
      <x:c r="C52" s="8" t="n">
        <x:v>12</x:v>
      </x:c>
      <x:c r="D52" s="9" t="n">
        <x:v>0</x:v>
      </x:c>
      <x:c r="E52" s="10" t="n">
        <x:v>5.17</x:v>
      </x:c>
      <x:c r="F52" t="str">
        <x:v>Agency / Consultant</x:v>
      </x:c>
      <x:c r="G52" s="11" t="n">
        <x:f>C52*E52</x:f>
        <x:v>62.04</x:v>
      </x:c>
    </x:row>
    <x:row r="53">
      <x:c r="A53" t="str">
        <x:v>auto shop marketing consultant</x:v>
      </x:c>
      <x:c r="B53" s="8" t="n">
        <x:v>0</x:v>
      </x:c>
      <x:c r="C53" s="8" t="n">
        <x:v>12</x:v>
      </x:c>
      <x:c r="D53" s="9" t="n">
        <x:v>0</x:v>
      </x:c>
      <x:c r="E53" s="10" t="n">
        <x:v>17.25</x:v>
      </x:c>
      <x:c r="F53" t="str">
        <x:v>Agency / Consultant</x:v>
      </x:c>
      <x:c r="G53" s="11" t="n">
        <x:f>C53*E53</x:f>
        <x:v>207</x:v>
      </x:c>
    </x:row>
    <x:row r="54">
      <x:c r="A54" t="str">
        <x:v>marketing audit for auto repair shop</x:v>
      </x:c>
      <x:c r="B54" s="8" t="n">
        <x:v>0</x:v>
      </x:c>
      <x:c r="C54" s="8" t="n">
        <x:v>12</x:v>
      </x:c>
      <x:c r="D54" s="9" t="n">
        <x:v>0</x:v>
      </x:c>
      <x:c r="E54" s="10" t="n">
        <x:v>17.5</x:v>
      </x:c>
      <x:c r="F54" t="str">
        <x:v>Marketing Audit</x:v>
      </x:c>
      <x:c r="G54" s="11" t="n">
        <x:f>C54*E54</x:f>
        <x:v>210</x:v>
      </x:c>
    </x:row>
    <x:row r="55">
      <x:c r="A55" t="str">
        <x:v>automotive repair shop marketing agency</x:v>
      </x:c>
      <x:c r="B55" s="8" t="n">
        <x:v>0</x:v>
      </x:c>
      <x:c r="C55" s="8" t="n">
        <x:v>12</x:v>
      </x:c>
      <x:c r="D55" s="9" t="n">
        <x:v>0</x:v>
      </x:c>
      <x:c r="E55" s="10" t="n">
        <x:v>21.67</x:v>
      </x:c>
      <x:c r="F55" t="str">
        <x:v>Agency / Consultant</x:v>
      </x:c>
      <x:c r="G55" s="11" t="n">
        <x:f>C55*E55</x:f>
        <x:v>260.04</x:v>
      </x:c>
    </x:row>
    <x:row r="56">
      <x:c r="A56" t="str">
        <x:v>auto repair marketing strategy</x:v>
      </x:c>
      <x:c r="B56" s="8" t="n">
        <x:v>0</x:v>
      </x:c>
      <x:c r="C56" s="8" t="n">
        <x:v>12</x:v>
      </x:c>
      <x:c r="D56" s="9" t="n">
        <x:v>0</x:v>
      </x:c>
      <x:c r="E56" s="10" t="n">
        <x:v>25.25</x:v>
      </x:c>
      <x:c r="F56" t="str">
        <x:v>Marketing Plan / Strategy</x:v>
      </x:c>
      <x:c r="G56" s="11" t="n">
        <x:f>C56*E56</x:f>
        <x:v>303</x:v>
      </x:c>
    </x:row>
    <x:row r="57">
      <x:c r="A57" t="str">
        <x:v>auto repair shop marketing strategies</x:v>
      </x:c>
      <x:c r="B57" s="8" t="n">
        <x:v>0</x:v>
      </x:c>
      <x:c r="C57" s="8" t="n">
        <x:v>12</x:v>
      </x:c>
      <x:c r="D57" s="9" t="n">
        <x:v>0</x:v>
      </x:c>
      <x:c r="E57" s="10" t="n">
        <x:v>35.08</x:v>
      </x:c>
      <x:c r="F57" t="str">
        <x:v>Marketing Plan / Strategy</x:v>
      </x:c>
      <x:c r="G57" s="11" t="n">
        <x:f>C57*E57</x:f>
        <x:v>420.96</x:v>
      </x:c>
    </x:row>
    <x:row r="58">
      <x:c r="A58" t="str">
        <x:v>automotive copywriting services</x:v>
      </x:c>
      <x:c r="B58" s="8" t="n">
        <x:v>0</x:v>
      </x:c>
      <x:c r="C58" s="8" t="n">
        <x:v>12</x:v>
      </x:c>
      <x:c r="D58" s="9" t="n">
        <x:v>0</x:v>
      </x:c>
      <x:c r="E58" s="10" t="n">
        <x:v>35.92</x:v>
      </x:c>
      <x:c r="F58" t="str">
        <x:v>Other</x:v>
      </x:c>
      <x:c r="G58" s="11" t="n">
        <x:f>C58*E58</x:f>
        <x:v>431.04</x:v>
      </x:c>
    </x:row>
    <x:row r="59">
      <x:c r="A59" t="str">
        <x:v>auto shop social media marketing</x:v>
      </x:c>
      <x:c r="B59" s="8" t="n">
        <x:v>0</x:v>
      </x:c>
      <x:c r="C59" s="8" t="n">
        <x:v>12</x:v>
      </x:c>
      <x:c r="D59" s="9" t="n">
        <x:v>0</x:v>
      </x:c>
      <x:c r="E59" s="10" t="n">
        <x:v>36.42</x:v>
      </x:c>
      <x:c r="F59" t="str">
        <x:v>Social Media</x:v>
      </x:c>
      <x:c r="G59" s="11" t="n">
        <x:f>C59*E59</x:f>
        <x:v>437.04</x:v>
      </x:c>
    </x:row>
    <x:row r="60">
      <x:c r="A60" t="str">
        <x:v>auto repair shop digital marketing</x:v>
      </x:c>
      <x:c r="B60" s="8" t="n">
        <x:v>0</x:v>
      </x:c>
      <x:c r="C60" s="8" t="n">
        <x:v>12</x:v>
      </x:c>
      <x:c r="D60" s="9" t="n">
        <x:v>0</x:v>
      </x:c>
      <x:c r="E60" s="10" t="n">
        <x:v>51.67</x:v>
      </x:c>
      <x:c r="F60" t="str">
        <x:v>Digital Marketing</x:v>
      </x:c>
      <x:c r="G60" s="11" t="n">
        <x:f>C60*E60</x:f>
        <x:v>620.04</x:v>
      </x:c>
    </x:row>
    <x:row r="61">
      <x:c r="A61" t="str">
        <x:v>repair shop marketing</x:v>
      </x:c>
      <x:c r="B61" s="8" t="n">
        <x:v>0</x:v>
      </x:c>
      <x:c r="C61" s="8" t="n">
        <x:v>12</x:v>
      </x:c>
      <x:c r="D61" s="9" t="n">
        <x:v>0</x:v>
      </x:c>
      <x:c r="E61" s="10" t="n">
        <x:v>53.75</x:v>
      </x:c>
      <x:c r="F61" t="str">
        <x:v>Other</x:v>
      </x:c>
      <x:c r="G61" s="11" t="n">
        <x:f>C61*E61</x:f>
        <x:v>645</x:v>
      </x:c>
    </x:row>
    <x:row r="62">
      <x:c r="A62" t="str">
        <x:v>automotive franchises opportunity in kansas city</x:v>
      </x:c>
      <x:c r="B62" s="8" t="n">
        <x:v>0</x:v>
      </x:c>
      <x:c r="C62" s="8" t="n">
        <x:v>12</x:v>
      </x:c>
      <x:c r="D62" s="9" t="n">
        <x:v>0</x:v>
      </x:c>
      <x:c r="E62" s="10" t="n">
        <x:v>55.5</x:v>
      </x:c>
      <x:c r="F62" t="str">
        <x:v>Other</x:v>
      </x:c>
      <x:c r="G62" s="11" t="n">
        <x:f>C62*E62</x:f>
        <x:v>666</x:v>
      </x:c>
    </x:row>
    <x:row r="63">
      <x:c r="A63" t="str">
        <x:v>marketing consultant</x:v>
      </x:c>
      <x:c r="B63" s="8" t="n">
        <x:v>0</x:v>
      </x:c>
      <x:c r="C63" s="8" t="n">
        <x:v>11</x:v>
      </x:c>
      <x:c r="D63" s="9" t="n">
        <x:v>0</x:v>
      </x:c>
      <x:c r="E63" s="10" t="n">
        <x:v>1</x:v>
      </x:c>
      <x:c r="F63" t="str">
        <x:v>Agency / Consultant</x:v>
      </x:c>
      <x:c r="G63" s="11" t="n">
        <x:f>C63*E63</x:f>
        <x:v>11</x:v>
      </x:c>
    </x:row>
    <x:row r="64">
      <x:c r="A64" t="str">
        <x:v>turnkey automotive</x:v>
      </x:c>
      <x:c r="B64" s="8" t="n">
        <x:v>0</x:v>
      </x:c>
      <x:c r="C64" s="8" t="n">
        <x:v>11</x:v>
      </x:c>
      <x:c r="D64" s="9" t="n">
        <x:v>0</x:v>
      </x:c>
      <x:c r="E64" s="10" t="n">
        <x:v>13.64</x:v>
      </x:c>
      <x:c r="F64" t="str">
        <x:v>Branded</x:v>
      </x:c>
      <x:c r="G64" s="11" t="n">
        <x:f>C64*E64</x:f>
        <x:v>150.04000000000002</x:v>
      </x:c>
    </x:row>
    <x:row r="65">
      <x:c r="A65" t="str">
        <x:v>auto marketing solutions</x:v>
      </x:c>
      <x:c r="B65" s="8" t="n">
        <x:v>0</x:v>
      </x:c>
      <x:c r="C65" s="8" t="n">
        <x:v>11</x:v>
      </x:c>
      <x:c r="D65" s="9" t="n">
        <x:v>0</x:v>
      </x:c>
      <x:c r="E65" s="10" t="n">
        <x:v>28.91</x:v>
      </x:c>
      <x:c r="F65" t="str">
        <x:v>Other</x:v>
      </x:c>
      <x:c r="G65" s="11" t="n">
        <x:f>C65*E65</x:f>
        <x:v>318.01</x:v>
      </x:c>
    </x:row>
    <x:row r="66">
      <x:c r="A66" t="str">
        <x:v>marketing director for auto repair shops</x:v>
      </x:c>
      <x:c r="B66" s="8" t="n">
        <x:v>0</x:v>
      </x:c>
      <x:c r="C66" s="8" t="n">
        <x:v>11</x:v>
      </x:c>
      <x:c r="D66" s="9" t="n">
        <x:v>0</x:v>
      </x:c>
      <x:c r="E66" s="10" t="n">
        <x:v>31.09</x:v>
      </x:c>
      <x:c r="F66" t="str">
        <x:v>Outsourced Marketing Director</x:v>
      </x:c>
      <x:c r="G66" s="11" t="n">
        <x:f>C66*E66</x:f>
        <x:v>341.99</x:v>
      </x:c>
    </x:row>
    <x:row r="67">
      <x:c r="A67" t="str">
        <x:v>auto shop marketing plan</x:v>
      </x:c>
      <x:c r="B67" s="8" t="n">
        <x:v>0</x:v>
      </x:c>
      <x:c r="C67" s="8" t="n">
        <x:v>11</x:v>
      </x:c>
      <x:c r="D67" s="9" t="n">
        <x:v>0</x:v>
      </x:c>
      <x:c r="E67" s="10" t="n">
        <x:v>33.36</x:v>
      </x:c>
      <x:c r="F67" t="str">
        <x:v>Marketing Plan / Strategy</x:v>
      </x:c>
      <x:c r="G67" s="11" t="n">
        <x:f>C67*E67</x:f>
        <x:v>366.96</x:v>
      </x:c>
    </x:row>
    <x:row r="68">
      <x:c r="A68" t="str">
        <x:v>repair shop marketing tools</x:v>
      </x:c>
      <x:c r="B68" s="8" t="n">
        <x:v>0</x:v>
      </x:c>
      <x:c r="C68" s="8" t="n">
        <x:v>11</x:v>
      </x:c>
      <x:c r="D68" s="9" t="n">
        <x:v>0</x:v>
      </x:c>
      <x:c r="E68" s="10" t="n">
        <x:v>53.82</x:v>
      </x:c>
      <x:c r="F68" t="str">
        <x:v>Other</x:v>
      </x:c>
      <x:c r="G68" s="11" t="n">
        <x:f>C68*E68</x:f>
        <x:v>592.02</x:v>
      </x:c>
    </x:row>
    <x:row r="69">
      <x:c r="A69" t="str">
        <x:v>auto repair email marketing</x:v>
      </x:c>
      <x:c r="B69" s="8" t="n">
        <x:v>0</x:v>
      </x:c>
      <x:c r="C69" s="8" t="n">
        <x:v>11</x:v>
      </x:c>
      <x:c r="D69" s="9" t="n">
        <x:v>0</x:v>
      </x:c>
      <x:c r="E69" s="10" t="n">
        <x:v>71.91</x:v>
      </x:c>
      <x:c r="F69" t="str">
        <x:v>Retention / Email</x:v>
      </x:c>
      <x:c r="G69" s="11" t="n">
        <x:f>C69*E69</x:f>
        <x:v>791.01</x:v>
      </x:c>
    </x:row>
    <x:row r="70">
      <x:c r="A70" t="str">
        <x:v>automotive direct mail services</x:v>
      </x:c>
      <x:c r="B70" s="8" t="n">
        <x:v>0</x:v>
      </x:c>
      <x:c r="C70" s="8" t="n">
        <x:v>11</x:v>
      </x:c>
      <x:c r="D70" s="9" t="n">
        <x:v>0</x:v>
      </x:c>
      <x:c r="E70" s="10" t="n">
        <x:v>78.09</x:v>
      </x:c>
      <x:c r="F70" t="str">
        <x:v>Direct Mail</x:v>
      </x:c>
      <x:c r="G70" s="11" t="n">
        <x:f>C70*E70</x:f>
        <x:v>858.99</x:v>
      </x:c>
    </x:row>
    <x:row r="71">
      <x:c r="A71" t="str">
        <x:v>auto repair shop marketing company</x:v>
      </x:c>
      <x:c r="B71" s="8" t="n">
        <x:v>0</x:v>
      </x:c>
      <x:c r="C71" s="8" t="n">
        <x:v>10</x:v>
      </x:c>
      <x:c r="D71" s="9" t="n">
        <x:v>0</x:v>
      </x:c>
      <x:c r="E71" s="10" t="n">
        <x:v>24</x:v>
      </x:c>
      <x:c r="F71" t="str">
        <x:v>Agency / Consultant</x:v>
      </x:c>
      <x:c r="G71" s="11" t="n">
        <x:f>C71*E71</x:f>
        <x:v>240</x:v>
      </x:c>
    </x:row>
    <x:row r="72">
      <x:c r="A72" t="str">
        <x:v>outsourced marketing for auto repair shops</x:v>
      </x:c>
      <x:c r="B72" s="8" t="n">
        <x:v>0</x:v>
      </x:c>
      <x:c r="C72" s="8" t="n">
        <x:v>10</x:v>
      </x:c>
      <x:c r="D72" s="9" t="n">
        <x:v>0</x:v>
      </x:c>
      <x:c r="E72" s="10" t="n">
        <x:v>28.9</x:v>
      </x:c>
      <x:c r="F72" t="str">
        <x:v>Outsourced Marketing Director</x:v>
      </x:c>
      <x:c r="G72" s="11" t="n">
        <x:f>C72*E72</x:f>
        <x:v>289</x:v>
      </x:c>
    </x:row>
    <x:row r="73">
      <x:c r="A73" t="str">
        <x:v>auto repair social marketing</x:v>
      </x:c>
      <x:c r="B73" s="8" t="n">
        <x:v>0</x:v>
      </x:c>
      <x:c r="C73" s="8" t="n">
        <x:v>10</x:v>
      </x:c>
      <x:c r="D73" s="9" t="n">
        <x:v>0</x:v>
      </x:c>
      <x:c r="E73" s="10" t="n">
        <x:v>29.7</x:v>
      </x:c>
      <x:c r="F73" t="str">
        <x:v>Core Marketing</x:v>
      </x:c>
      <x:c r="G73" s="11" t="n">
        <x:f>C73*E73</x:f>
        <x:v>297</x:v>
      </x:c>
    </x:row>
    <x:row r="74">
      <x:c r="A74" t="str">
        <x:v>repair shop guide</x:v>
      </x:c>
      <x:c r="B74" s="8" t="n">
        <x:v>0</x:v>
      </x:c>
      <x:c r="C74" s="8" t="n">
        <x:v>10</x:v>
      </x:c>
      <x:c r="D74" s="9" t="n">
        <x:v>0</x:v>
      </x:c>
      <x:c r="E74" s="10" t="n">
        <x:v>31.3</x:v>
      </x:c>
      <x:c r="F74" t="str">
        <x:v>Other</x:v>
      </x:c>
      <x:c r="G74" s="11" t="n">
        <x:f>C74*E74</x:f>
        <x:v>313</x:v>
      </x:c>
    </x:row>
    <x:row r="75">
      <x:c r="A75" t="str">
        <x:v>best auto repair marketing agency</x:v>
      </x:c>
      <x:c r="B75" s="8" t="n">
        <x:v>0</x:v>
      </x:c>
      <x:c r="C75" s="8" t="n">
        <x:v>10</x:v>
      </x:c>
      <x:c r="D75" s="9" t="n">
        <x:v>0</x:v>
      </x:c>
      <x:c r="E75" s="10" t="n">
        <x:v>35</x:v>
      </x:c>
      <x:c r="F75" t="str">
        <x:v>Comparison / Companies</x:v>
      </x:c>
      <x:c r="G75" s="11" t="n">
        <x:f>C75*E75</x:f>
        <x:v>350</x:v>
      </x:c>
    </x:row>
    <x:row r="76">
      <x:c r="A76" t="str">
        <x:v>atlanta auto repair marketing</x:v>
      </x:c>
      <x:c r="B76" s="8" t="n">
        <x:v>0</x:v>
      </x:c>
      <x:c r="C76" s="8" t="n">
        <x:v>10</x:v>
      </x:c>
      <x:c r="D76" s="9" t="n">
        <x:v>0</x:v>
      </x:c>
      <x:c r="E76" s="10" t="n">
        <x:v>37</x:v>
      </x:c>
      <x:c r="F76" t="str">
        <x:v>Core Marketing</x:v>
      </x:c>
      <x:c r="G76" s="11" t="n">
        <x:f>C76*E76</x:f>
        <x:v>370</x:v>
      </x:c>
    </x:row>
    <x:row r="77">
      <x:c r="A77" t="str">
        <x:v>auto repair marketing audit</x:v>
      </x:c>
      <x:c r="B77" s="8" t="n">
        <x:v>0</x:v>
      </x:c>
      <x:c r="C77" s="8" t="n">
        <x:v>10</x:v>
      </x:c>
      <x:c r="D77" s="9" t="n">
        <x:v>0</x:v>
      </x:c>
      <x:c r="E77" s="10" t="n">
        <x:v>38</x:v>
      </x:c>
      <x:c r="F77" t="str">
        <x:v>Marketing Audit</x:v>
      </x:c>
      <x:c r="G77" s="11" t="n">
        <x:f>C77*E77</x:f>
        <x:v>380</x:v>
      </x:c>
    </x:row>
    <x:row r="78">
      <x:c r="A78" t="str">
        <x:v>auto repair direct mail marketing</x:v>
      </x:c>
      <x:c r="B78" s="8" t="n">
        <x:v>0</x:v>
      </x:c>
      <x:c r="C78" s="8" t="n">
        <x:v>10</x:v>
      </x:c>
      <x:c r="D78" s="9" t="n">
        <x:v>0</x:v>
      </x:c>
      <x:c r="E78" s="10" t="n">
        <x:v>52.4</x:v>
      </x:c>
      <x:c r="F78" t="str">
        <x:v>Direct Mail</x:v>
      </x:c>
      <x:c r="G78" s="11" t="n">
        <x:f>C78*E78</x:f>
        <x:v>524</x:v>
      </x:c>
    </x:row>
    <x:row r="79">
      <x:c r="A79" t="str">
        <x:v>auto repair ppc company</x:v>
      </x:c>
      <x:c r="B79" s="8" t="n">
        <x:v>0</x:v>
      </x:c>
      <x:c r="C79" s="8" t="n">
        <x:v>10</x:v>
      </x:c>
      <x:c r="D79" s="9" t="n">
        <x:v>0</x:v>
      </x:c>
      <x:c r="E79" s="10" t="n">
        <x:v>76</x:v>
      </x:c>
      <x:c r="F79" t="str">
        <x:v>Other</x:v>
      </x:c>
      <x:c r="G79" s="11" t="n">
        <x:f>C79*E79</x:f>
        <x:v>760</x:v>
      </x:c>
    </x:row>
    <x:row r="80">
      <x:c r="A80" t="str">
        <x:v>automotive direct mail</x:v>
      </x:c>
      <x:c r="B80" s="8" t="n">
        <x:v>0</x:v>
      </x:c>
      <x:c r="C80" s="8" t="n">
        <x:v>10</x:v>
      </x:c>
      <x:c r="D80" s="9" t="n">
        <x:v>0</x:v>
      </x:c>
      <x:c r="E80" s="10" t="n">
        <x:v>82.4</x:v>
      </x:c>
      <x:c r="F80" t="str">
        <x:v>Direct Mail</x:v>
      </x:c>
      <x:c r="G80" s="11" t="n">
        <x:f>C80*E80</x:f>
        <x:v>824</x:v>
      </x:c>
    </x:row>
    <x:row r="81">
      <x:c r="A81" t="str">
        <x:v>turn key auto</x:v>
      </x:c>
      <x:c r="B81" s="8" t="n">
        <x:v>0</x:v>
      </x:c>
      <x:c r="C81" s="8" t="n">
        <x:v>9</x:v>
      </x:c>
      <x:c r="D81" s="9" t="n">
        <x:v>0</x:v>
      </x:c>
      <x:c r="E81" s="10" t="n">
        <x:v>7.67</x:v>
      </x:c>
      <x:c r="F81" t="str">
        <x:v>Other</x:v>
      </x:c>
      <x:c r="G81" s="11" t="n">
        <x:f>C81*E81</x:f>
        <x:v>69.03</x:v>
      </x:c>
    </x:row>
    <x:row r="82">
      <x:c r="A82" t="str">
        <x:v>auto body marketing agency</x:v>
      </x:c>
      <x:c r="B82" s="8" t="n">
        <x:v>0</x:v>
      </x:c>
      <x:c r="C82" s="8" t="n">
        <x:v>9</x:v>
      </x:c>
      <x:c r="D82" s="9" t="n">
        <x:v>0</x:v>
      </x:c>
      <x:c r="E82" s="10" t="n">
        <x:v>16.56</x:v>
      </x:c>
      <x:c r="F82" t="str">
        <x:v>Agency / Consultant</x:v>
      </x:c>
      <x:c r="G82" s="11" t="n">
        <x:f>C82*E82</x:f>
        <x:v>149.04</x:v>
      </x:c>
    </x:row>
    <x:row r="83">
      <x:c r="A83" t="str">
        <x:v>auto repair facebook marketing</x:v>
      </x:c>
      <x:c r="B83" s="8" t="n">
        <x:v>0</x:v>
      </x:c>
      <x:c r="C83" s="8" t="n">
        <x:v>9</x:v>
      </x:c>
      <x:c r="D83" s="9" t="n">
        <x:v>0</x:v>
      </x:c>
      <x:c r="E83" s="10" t="n">
        <x:v>52.44</x:v>
      </x:c>
      <x:c r="F83" t="str">
        <x:v>Social Media</x:v>
      </x:c>
      <x:c r="G83" s="11" t="n">
        <x:f>C83*E83</x:f>
        <x:v>471.96</x:v>
      </x:c>
    </x:row>
    <x:row r="84">
      <x:c r="A84" t="str">
        <x:v>turn key marketing</x:v>
      </x:c>
      <x:c r="B84" s="8" t="n">
        <x:v>0</x:v>
      </x:c>
      <x:c r="C84" s="8" t="n">
        <x:v>8</x:v>
      </x:c>
      <x:c r="D84" s="9" t="n">
        <x:v>0</x:v>
      </x:c>
      <x:c r="E84" s="10" t="n">
        <x:v>1.12</x:v>
      </x:c>
      <x:c r="F84" t="str">
        <x:v>Other</x:v>
      </x:c>
      <x:c r="G84" s="11" t="n">
        <x:f>C84*E84</x:f>
        <x:v>8.96</x:v>
      </x:c>
    </x:row>
    <x:row r="85">
      <x:c r="A85" t="str">
        <x:v>automotive marketing companies</x:v>
      </x:c>
      <x:c r="B85" s="8" t="n">
        <x:v>0</x:v>
      </x:c>
      <x:c r="C85" s="8" t="n">
        <x:v>8</x:v>
      </x:c>
      <x:c r="D85" s="9" t="n">
        <x:v>0</x:v>
      </x:c>
      <x:c r="E85" s="10" t="n">
        <x:v>1.25</x:v>
      </x:c>
      <x:c r="F85" t="str">
        <x:v>Comparison / Companies</x:v>
      </x:c>
      <x:c r="G85" s="11" t="n">
        <x:f>C85*E85</x:f>
        <x:v>10</x:v>
      </x:c>
    </x:row>
    <x:row r="86">
      <x:c r="A86" t="str">
        <x:v>turnkey</x:v>
      </x:c>
      <x:c r="B86" s="8" t="n">
        <x:v>0</x:v>
      </x:c>
      <x:c r="C86" s="8" t="n">
        <x:v>8</x:v>
      </x:c>
      <x:c r="D86" s="9" t="n">
        <x:v>0</x:v>
      </x:c>
      <x:c r="E86" s="10" t="n">
        <x:v>5</x:v>
      </x:c>
      <x:c r="F86" t="str">
        <x:v>Branded</x:v>
      </x:c>
      <x:c r="G86" s="11" t="n">
        <x:f>C86*E86</x:f>
        <x:v>40</x:v>
      </x:c>
    </x:row>
    <x:row r="87">
      <x:c r="A87" t="str">
        <x:v>auto repair social media</x:v>
      </x:c>
      <x:c r="B87" s="8" t="n">
        <x:v>0</x:v>
      </x:c>
      <x:c r="C87" s="8" t="n">
        <x:v>8</x:v>
      </x:c>
      <x:c r="D87" s="9" t="n">
        <x:v>0</x:v>
      </x:c>
      <x:c r="E87" s="10" t="n">
        <x:v>24.75</x:v>
      </x:c>
      <x:c r="F87" t="str">
        <x:v>Social Media</x:v>
      </x:c>
      <x:c r="G87" s="11" t="n">
        <x:f>C87*E87</x:f>
        <x:v>198</x:v>
      </x:c>
    </x:row>
    <x:row r="88">
      <x:c r="A88" t="str">
        <x:v>guide to auto repair marketing</x:v>
      </x:c>
      <x:c r="B88" s="8" t="n">
        <x:v>0</x:v>
      </x:c>
      <x:c r="C88" s="8" t="n">
        <x:v>8</x:v>
      </x:c>
      <x:c r="D88" s="9" t="n">
        <x:v>0</x:v>
      </x:c>
      <x:c r="E88" s="10" t="n">
        <x:v>32.75</x:v>
      </x:c>
      <x:c r="F88" t="str">
        <x:v>Core Marketing</x:v>
      </x:c>
      <x:c r="G88" s="11" t="n">
        <x:f>C88*E88</x:f>
        <x:v>262</x:v>
      </x:c>
    </x:row>
    <x:row r="89">
      <x:c r="A89" t="str">
        <x:v>auto repair digital marketing experts</x:v>
      </x:c>
      <x:c r="B89" s="8" t="n">
        <x:v>0</x:v>
      </x:c>
      <x:c r="C89" s="8" t="n">
        <x:v>8</x:v>
      </x:c>
      <x:c r="D89" s="9" t="n">
        <x:v>0</x:v>
      </x:c>
      <x:c r="E89" s="10" t="n">
        <x:v>41.75</x:v>
      </x:c>
      <x:c r="F89" t="str">
        <x:v>Digital Marketing</x:v>
      </x:c>
      <x:c r="G89" s="11" t="n">
        <x:f>C89*E89</x:f>
        <x:v>334</x:v>
      </x:c>
    </x:row>
    <x:row r="90">
      <x:c r="A90" t="str">
        <x:v>auto repair digital marketing services</x:v>
      </x:c>
      <x:c r="B90" s="8" t="n">
        <x:v>0</x:v>
      </x:c>
      <x:c r="C90" s="8" t="n">
        <x:v>8</x:v>
      </x:c>
      <x:c r="D90" s="9" t="n">
        <x:v>0</x:v>
      </x:c>
      <x:c r="E90" s="10" t="n">
        <x:v>41.88</x:v>
      </x:c>
      <x:c r="F90" t="str">
        <x:v>Marketing Services</x:v>
      </x:c>
      <x:c r="G90" s="11" t="n">
        <x:f>C90*E90</x:f>
        <x:v>335.04</x:v>
      </x:c>
    </x:row>
    <x:row r="91">
      <x:c r="A91" t="str">
        <x:v>auto repair shop marketing</x:v>
      </x:c>
      <x:c r="B91" s="8" t="n">
        <x:v>0</x:v>
      </x:c>
      <x:c r="C91" s="8" t="n">
        <x:v>8</x:v>
      </x:c>
      <x:c r="D91" s="9" t="n">
        <x:v>0</x:v>
      </x:c>
      <x:c r="E91" s="10" t="n">
        <x:v>56.12</x:v>
      </x:c>
      <x:c r="F91" t="str">
        <x:v>Core Marketing</x:v>
      </x:c>
      <x:c r="G91" s="11" t="n">
        <x:f>C91*E91</x:f>
        <x:v>448.96</x:v>
      </x:c>
    </x:row>
    <x:row r="92">
      <x:c r="A92" t="str">
        <x:v>guide to auto repair shop marketing</x:v>
      </x:c>
      <x:c r="B92" s="8" t="n">
        <x:v>0</x:v>
      </x:c>
      <x:c r="C92" s="8" t="n">
        <x:v>8</x:v>
      </x:c>
      <x:c r="D92" s="9" t="n">
        <x:v>0</x:v>
      </x:c>
      <x:c r="E92" s="10" t="n">
        <x:v>63.62</x:v>
      </x:c>
      <x:c r="F92" t="str">
        <x:v>Core Marketing</x:v>
      </x:c>
      <x:c r="G92" s="11" t="n">
        <x:f>C92*E92</x:f>
        <x:v>508.96</x:v>
      </x:c>
    </x:row>
    <x:row r="93">
      <x:c r="A93" t="str">
        <x:v>email marketing for auto repair shops</x:v>
      </x:c>
      <x:c r="B93" s="8" t="n">
        <x:v>0</x:v>
      </x:c>
      <x:c r="C93" s="8" t="n">
        <x:v>8</x:v>
      </x:c>
      <x:c r="D93" s="9" t="n">
        <x:v>0</x:v>
      </x:c>
      <x:c r="E93" s="10" t="n">
        <x:v>87.38</x:v>
      </x:c>
      <x:c r="F93" t="str">
        <x:v>Retention / Email</x:v>
      </x:c>
      <x:c r="G93" s="11" t="n">
        <x:f>C93*E93</x:f>
        <x:v>699.04</x:v>
      </x:c>
    </x:row>
    <x:row r="94">
      <x:c r="A94" t="str">
        <x:v>automotive marketing agency</x:v>
      </x:c>
      <x:c r="B94" s="8" t="n">
        <x:v>0</x:v>
      </x:c>
      <x:c r="C94" s="8" t="n">
        <x:v>7</x:v>
      </x:c>
      <x:c r="D94" s="9" t="n">
        <x:v>0</x:v>
      </x:c>
      <x:c r="E94" s="10" t="n">
        <x:v>1</x:v>
      </x:c>
      <x:c r="F94" t="str">
        <x:v>Agency / Consultant</x:v>
      </x:c>
      <x:c r="G94" s="11" t="n">
        <x:f>C94*E94</x:f>
        <x:v>7</x:v>
      </x:c>
    </x:row>
    <x:row r="95">
      <x:c r="A95" t="str">
        <x:v>turnkey marketing strategy, branding and creative services agency.</x:v>
      </x:c>
      <x:c r="B95" s="8" t="n">
        <x:v>0</x:v>
      </x:c>
      <x:c r="C95" s="8" t="n">
        <x:v>7</x:v>
      </x:c>
      <x:c r="D95" s="9" t="n">
        <x:v>0</x:v>
      </x:c>
      <x:c r="E95" s="10" t="n">
        <x:v>3.57</x:v>
      </x:c>
      <x:c r="F95" t="str">
        <x:v>Branded</x:v>
      </x:c>
      <x:c r="G95" s="11" t="n">
        <x:f>C95*E95</x:f>
        <x:v>24.99</x:v>
      </x:c>
    </x:row>
    <x:row r="96">
      <x:c r="A96" t="str">
        <x:v>customer avatar auto repair</x:v>
      </x:c>
      <x:c r="B96" s="8" t="n">
        <x:v>0</x:v>
      </x:c>
      <x:c r="C96" s="8" t="n">
        <x:v>7</x:v>
      </x:c>
      <x:c r="D96" s="9" t="n">
        <x:v>0</x:v>
      </x:c>
      <x:c r="E96" s="10" t="n">
        <x:v>5</x:v>
      </x:c>
      <x:c r="F96" t="str">
        <x:v>Customer Avatar</x:v>
      </x:c>
      <x:c r="G96" s="11" t="n">
        <x:f>C96*E96</x:f>
        <x:v>35</x:v>
      </x:c>
    </x:row>
    <x:row r="97">
      <x:c r="A97" t="str">
        <x:v>turn key agency</x:v>
      </x:c>
      <x:c r="B97" s="8" t="n">
        <x:v>0</x:v>
      </x:c>
      <x:c r="C97" s="8" t="n">
        <x:v>7</x:v>
      </x:c>
      <x:c r="D97" s="9" t="n">
        <x:v>0</x:v>
      </x:c>
      <x:c r="E97" s="10" t="n">
        <x:v>9.71</x:v>
      </x:c>
      <x:c r="F97" t="str">
        <x:v>Other</x:v>
      </x:c>
      <x:c r="G97" s="11" t="n">
        <x:f>C97*E97</x:f>
        <x:v>67.97</x:v>
      </x:c>
    </x:row>
    <x:row r="98">
      <x:c r="A98" t="str">
        <x:v>turnkey seo</x:v>
      </x:c>
      <x:c r="B98" s="8" t="n">
        <x:v>0</x:v>
      </x:c>
      <x:c r="C98" s="8" t="n">
        <x:v>7</x:v>
      </x:c>
      <x:c r="D98" s="9" t="n">
        <x:v>0</x:v>
      </x:c>
      <x:c r="E98" s="10" t="n">
        <x:v>18.86</x:v>
      </x:c>
      <x:c r="F98" t="str">
        <x:v>Branded</x:v>
      </x:c>
      <x:c r="G98" s="11" t="n">
        <x:f>C98*E98</x:f>
        <x:v>132.01999999999998</x:v>
      </x:c>
    </x:row>
    <x:row r="99">
      <x:c r="A99" t="str">
        <x:v>auto marketing services</x:v>
      </x:c>
      <x:c r="B99" s="8" t="n">
        <x:v>0</x:v>
      </x:c>
      <x:c r="C99" s="8" t="n">
        <x:v>7</x:v>
      </x:c>
      <x:c r="D99" s="9" t="n">
        <x:v>0</x:v>
      </x:c>
      <x:c r="E99" s="10" t="n">
        <x:v>20.14</x:v>
      </x:c>
      <x:c r="F99" t="str">
        <x:v>Marketing Services</x:v>
      </x:c>
      <x:c r="G99" s="11" t="n">
        <x:f>C99*E99</x:f>
        <x:v>140.98000000000002</x:v>
      </x:c>
    </x:row>
    <x:row r="100">
      <x:c r="A100" t="str">
        <x:v>auto painting digital marketing</x:v>
      </x:c>
      <x:c r="B100" s="8" t="n">
        <x:v>0</x:v>
      </x:c>
      <x:c r="C100" s="8" t="n">
        <x:v>7</x:v>
      </x:c>
      <x:c r="D100" s="9" t="n">
        <x:v>0</x:v>
      </x:c>
      <x:c r="E100" s="10" t="n">
        <x:v>37.29</x:v>
      </x:c>
      <x:c r="F100" t="str">
        <x:v>Digital Marketing</x:v>
      </x:c>
      <x:c r="G100" s="11" t="n">
        <x:f>C100*E100</x:f>
        <x:v>261.03</x:v>
      </x:c>
    </x:row>
    <x:row r="101">
      <x:c r="A101" t="str">
        <x:v>auto shop digital marketing</x:v>
      </x:c>
      <x:c r="B101" s="8" t="n">
        <x:v>0</x:v>
      </x:c>
      <x:c r="C101" s="8" t="n">
        <x:v>7</x:v>
      </x:c>
      <x:c r="D101" s="9" t="n">
        <x:v>0</x:v>
      </x:c>
      <x:c r="E101" s="10" t="n">
        <x:v>40.43</x:v>
      </x:c>
      <x:c r="F101" t="str">
        <x:v>Digital Marketing</x:v>
      </x:c>
      <x:c r="G101" s="11" t="n">
        <x:f>C101*E101</x:f>
        <x:v>283.01</x:v>
      </x:c>
    </x:row>
    <x:row r="102">
      <x:c r="A102" t="str">
        <x:v>done for you auto repair marketing</x:v>
      </x:c>
      <x:c r="B102" s="8" t="n">
        <x:v>0</x:v>
      </x:c>
      <x:c r="C102" s="8" t="n">
        <x:v>7</x:v>
      </x:c>
      <x:c r="D102" s="9" t="n">
        <x:v>0</x:v>
      </x:c>
      <x:c r="E102" s="10" t="n">
        <x:v>47.71</x:v>
      </x:c>
      <x:c r="F102" t="str">
        <x:v>Core Marketing</x:v>
      </x:c>
      <x:c r="G102" s="11" t="n">
        <x:f>C102*E102</x:f>
        <x:v>333.97</x:v>
      </x:c>
    </x:row>
    <x:row r="103">
      <x:c r="A103" t="str">
        <x:v>online marketing for auto repair shops</x:v>
      </x:c>
      <x:c r="B103" s="8" t="n">
        <x:v>0</x:v>
      </x:c>
      <x:c r="C103" s="8" t="n">
        <x:v>7</x:v>
      </x:c>
      <x:c r="D103" s="9" t="n">
        <x:v>0</x:v>
      </x:c>
      <x:c r="E103" s="10" t="n">
        <x:v>65.43</x:v>
      </x:c>
      <x:c r="F103" t="str">
        <x:v>Other</x:v>
      </x:c>
      <x:c r="G103" s="11" t="n">
        <x:f>C103*E103</x:f>
        <x:v>458.01000000000005</x:v>
      </x:c>
    </x:row>
    <x:row r="104">
      <x:c r="A104" t="str">
        <x:v>auto repair shop lead generation</x:v>
      </x:c>
      <x:c r="B104" s="8" t="n">
        <x:v>0</x:v>
      </x:c>
      <x:c r="C104" s="8" t="n">
        <x:v>7</x:v>
      </x:c>
      <x:c r="D104" s="9" t="n">
        <x:v>0</x:v>
      </x:c>
      <x:c r="E104" s="10" t="n">
        <x:v>67</x:v>
      </x:c>
      <x:c r="F104" t="str">
        <x:v>Lead Generation / Growth</x:v>
      </x:c>
      <x:c r="G104" s="11" t="n">
        <x:f>C104*E104</x:f>
        <x:v>469</x:v>
      </x:c>
    </x:row>
    <x:row r="105">
      <x:c r="A105" t="str">
        <x:v>turnkey auto</x:v>
      </x:c>
      <x:c r="B105" s="8" t="n">
        <x:v>0</x:v>
      </x:c>
      <x:c r="C105" s="8" t="n">
        <x:v>6</x:v>
      </x:c>
      <x:c r="D105" s="9" t="n">
        <x:v>0</x:v>
      </x:c>
      <x:c r="E105" s="10" t="n">
        <x:v>7.5</x:v>
      </x:c>
      <x:c r="F105" t="str">
        <x:v>Branded</x:v>
      </x:c>
      <x:c r="G105" s="11" t="n">
        <x:f>C105*E105</x:f>
        <x:v>45</x:v>
      </x:c>
    </x:row>
    <x:row r="106">
      <x:c r="A106" t="str">
        <x:v>tire and auto marketing agency</x:v>
      </x:c>
      <x:c r="B106" s="8" t="n">
        <x:v>0</x:v>
      </x:c>
      <x:c r="C106" s="8" t="n">
        <x:v>6</x:v>
      </x:c>
      <x:c r="D106" s="9" t="n">
        <x:v>0</x:v>
      </x:c>
      <x:c r="E106" s="10" t="n">
        <x:v>9.33</x:v>
      </x:c>
      <x:c r="F106" t="str">
        <x:v>Agency / Consultant</x:v>
      </x:c>
      <x:c r="G106" s="11" t="n">
        <x:f>C106*E106</x:f>
        <x:v>55.980000000000004</x:v>
      </x:c>
    </x:row>
    <x:row r="107">
      <x:c r="A107" t="str">
        <x:v>turnkey marketing for saas</x:v>
      </x:c>
      <x:c r="B107" s="8" t="n">
        <x:v>0</x:v>
      </x:c>
      <x:c r="C107" s="8" t="n">
        <x:v>6</x:v>
      </x:c>
      <x:c r="D107" s="9" t="n">
        <x:v>0</x:v>
      </x:c>
      <x:c r="E107" s="10" t="n">
        <x:v>25</x:v>
      </x:c>
      <x:c r="F107" t="str">
        <x:v>Branded</x:v>
      </x:c>
      <x:c r="G107" s="11" t="n">
        <x:f>C107*E107</x:f>
        <x:v>150</x:v>
      </x:c>
    </x:row>
    <x:row r="108">
      <x:c r="A108" t="str">
        <x:v>auto repair shop social media marketing</x:v>
      </x:c>
      <x:c r="B108" s="8" t="n">
        <x:v>0</x:v>
      </x:c>
      <x:c r="C108" s="8" t="n">
        <x:v>6</x:v>
      </x:c>
      <x:c r="D108" s="9" t="n">
        <x:v>0</x:v>
      </x:c>
      <x:c r="E108" s="10" t="n">
        <x:v>36.17</x:v>
      </x:c>
      <x:c r="F108" t="str">
        <x:v>Social Media</x:v>
      </x:c>
      <x:c r="G108" s="11" t="n">
        <x:f>C108*E108</x:f>
        <x:v>217.02</x:v>
      </x:c>
    </x:row>
    <x:row r="109">
      <x:c r="A109" t="str">
        <x:v>marketing strategies for auto repair shops</x:v>
      </x:c>
      <x:c r="B109" s="8" t="n">
        <x:v>0</x:v>
      </x:c>
      <x:c r="C109" s="8" t="n">
        <x:v>6</x:v>
      </x:c>
      <x:c r="D109" s="9" t="n">
        <x:v>0</x:v>
      </x:c>
      <x:c r="E109" s="10" t="n">
        <x:v>40.33</x:v>
      </x:c>
      <x:c r="F109" t="str">
        <x:v>Marketing Plan / Strategy</x:v>
      </x:c>
      <x:c r="G109" s="11" t="n">
        <x:f>C109*E109</x:f>
        <x:v>241.98</x:v>
      </x:c>
    </x:row>
    <x:row r="110">
      <x:c r="A110" t="str">
        <x:v>auto repair shop marketing services</x:v>
      </x:c>
      <x:c r="B110" s="8" t="n">
        <x:v>0</x:v>
      </x:c>
      <x:c r="C110" s="8" t="n">
        <x:v>6</x:v>
      </x:c>
      <x:c r="D110" s="9" t="n">
        <x:v>0</x:v>
      </x:c>
      <x:c r="E110" s="10" t="n">
        <x:v>42.17</x:v>
      </x:c>
      <x:c r="F110" t="str">
        <x:v>Marketing Services</x:v>
      </x:c>
      <x:c r="G110" s="11" t="n">
        <x:f>C110*E110</x:f>
        <x:v>253.02</x:v>
      </x:c>
    </x:row>
    <x:row r="111">
      <x:c r="A111" t="str">
        <x:v>auto repair digital marketing agency</x:v>
      </x:c>
      <x:c r="B111" s="8" t="n">
        <x:v>0</x:v>
      </x:c>
      <x:c r="C111" s="8" t="n">
        <x:v>6</x:v>
      </x:c>
      <x:c r="D111" s="9" t="n">
        <x:v>0</x:v>
      </x:c>
      <x:c r="E111" s="10" t="n">
        <x:v>47.17</x:v>
      </x:c>
      <x:c r="F111" t="str">
        <x:v>Agency / Consultant</x:v>
      </x:c>
      <x:c r="G111" s="11" t="n">
        <x:f>C111*E111</x:f>
        <x:v>283.02</x:v>
      </x:c>
    </x:row>
    <x:row r="112">
      <x:c r="A112" t="str">
        <x:v>marketing reporting overland park</x:v>
      </x:c>
      <x:c r="B112" s="8" t="n">
        <x:v>0</x:v>
      </x:c>
      <x:c r="C112" s="8" t="n">
        <x:v>6</x:v>
      </x:c>
      <x:c r="D112" s="9" t="n">
        <x:v>0</x:v>
      </x:c>
      <x:c r="E112" s="10" t="n">
        <x:v>48.67</x:v>
      </x:c>
      <x:c r="F112" t="str">
        <x:v>Other</x:v>
      </x:c>
      <x:c r="G112" s="11" t="n">
        <x:f>C112*E112</x:f>
        <x:v>292.02</x:v>
      </x:c>
    </x:row>
    <x:row r="113">
      <x:c r="A113" t="str">
        <x:v>marketing an auto repair shop</x:v>
      </x:c>
      <x:c r="B113" s="8" t="n">
        <x:v>0</x:v>
      </x:c>
      <x:c r="C113" s="8" t="n">
        <x:v>6</x:v>
      </x:c>
      <x:c r="D113" s="9" t="n">
        <x:v>0</x:v>
      </x:c>
      <x:c r="E113" s="10" t="n">
        <x:v>56.33</x:v>
      </x:c>
      <x:c r="F113" t="str">
        <x:v>Other</x:v>
      </x:c>
      <x:c r="G113" s="11" t="n">
        <x:f>C113*E113</x:f>
        <x:v>337.98</x:v>
      </x:c>
    </x:row>
    <x:row r="114">
      <x:c r="A114" t="str">
        <x:v>auto repair shop business marketing</x:v>
      </x:c>
      <x:c r="B114" s="8" t="n">
        <x:v>0</x:v>
      </x:c>
      <x:c r="C114" s="8" t="n">
        <x:v>6</x:v>
      </x:c>
      <x:c r="D114" s="9" t="n">
        <x:v>0</x:v>
      </x:c>
      <x:c r="E114" s="10" t="n">
        <x:v>63.83</x:v>
      </x:c>
      <x:c r="F114" t="str">
        <x:v>Core Marketing</x:v>
      </x:c>
      <x:c r="G114" s="11" t="n">
        <x:f>C114*E114</x:f>
        <x:v>382.98</x:v>
      </x:c>
    </x:row>
    <x:row r="115">
      <x:c r="A115" t="str">
        <x:v>digital marketing for auto repair shop</x:v>
      </x:c>
      <x:c r="B115" s="8" t="n">
        <x:v>0</x:v>
      </x:c>
      <x:c r="C115" s="8" t="n">
        <x:v>6</x:v>
      </x:c>
      <x:c r="D115" s="9" t="n">
        <x:v>0</x:v>
      </x:c>
      <x:c r="E115" s="10" t="n">
        <x:v>65.17</x:v>
      </x:c>
      <x:c r="F115" t="str">
        <x:v>Digital Marketing</x:v>
      </x:c>
      <x:c r="G115" s="11" t="n">
        <x:f>C115*E115</x:f>
        <x:v>391.02</x:v>
      </x:c>
    </x:row>
    <x:row r="116">
      <x:c r="A116" t="str">
        <x:v>auto repair lead generation</x:v>
      </x:c>
      <x:c r="B116" s="8" t="n">
        <x:v>0</x:v>
      </x:c>
      <x:c r="C116" s="8" t="n">
        <x:v>6</x:v>
      </x:c>
      <x:c r="D116" s="9" t="n">
        <x:v>0</x:v>
      </x:c>
      <x:c r="E116" s="10" t="n">
        <x:v>71.5</x:v>
      </x:c>
      <x:c r="F116" t="str">
        <x:v>Lead Generation / Growth</x:v>
      </x:c>
      <x:c r="G116" s="11" t="n">
        <x:f>C116*E116</x:f>
        <x:v>429</x:v>
      </x:c>
    </x:row>
    <x:row r="117">
      <x:c r="A117" t="str">
        <x:v>turnkey auto marketing</x:v>
      </x:c>
      <x:c r="B117" s="8" t="n">
        <x:v>0</x:v>
      </x:c>
      <x:c r="C117" s="8" t="n">
        <x:v>5</x:v>
      </x:c>
      <x:c r="D117" s="9" t="n">
        <x:v>0</x:v>
      </x:c>
      <x:c r="E117" s="10" t="n">
        <x:v>3.6</x:v>
      </x:c>
      <x:c r="F117" t="str">
        <x:v>Branded</x:v>
      </x:c>
      <x:c r="G117" s="11" t="n">
        <x:f>C117*E117</x:f>
        <x:v>18</x:v>
      </x:c>
    </x:row>
    <x:row r="118">
      <x:c r="A118" t="str">
        <x:v>automarketing</x:v>
      </x:c>
      <x:c r="B118" s="8" t="n">
        <x:v>0</x:v>
      </x:c>
      <x:c r="C118" s="8" t="n">
        <x:v>5</x:v>
      </x:c>
      <x:c r="D118" s="9" t="n">
        <x:v>0</x:v>
      </x:c>
      <x:c r="E118" s="10" t="n">
        <x:v>12.4</x:v>
      </x:c>
      <x:c r="F118" t="str">
        <x:v>Other</x:v>
      </x:c>
      <x:c r="G118" s="11" t="n">
        <x:f>C118*E118</x:f>
        <x:v>62</x:v>
      </x:c>
    </x:row>
    <x:row r="119">
      <x:c r="A119" t="str">
        <x:v>auto repair marketing companies near me</x:v>
      </x:c>
      <x:c r="B119" s="8" t="n">
        <x:v>0</x:v>
      </x:c>
      <x:c r="C119" s="8" t="n">
        <x:v>5</x:v>
      </x:c>
      <x:c r="D119" s="9" t="n">
        <x:v>0</x:v>
      </x:c>
      <x:c r="E119" s="10" t="n">
        <x:v>19.2</x:v>
      </x:c>
      <x:c r="F119" t="str">
        <x:v>Comparison / Companies</x:v>
      </x:c>
      <x:c r="G119" s="11" t="n">
        <x:f>C119*E119</x:f>
        <x:v>96</x:v>
      </x:c>
    </x:row>
    <x:row r="120">
      <x:c r="A120" t="str">
        <x:v>broker dealer turnkey marketing support</x:v>
      </x:c>
      <x:c r="B120" s="8" t="n">
        <x:v>0</x:v>
      </x:c>
      <x:c r="C120" s="8" t="n">
        <x:v>5</x:v>
      </x:c>
      <x:c r="D120" s="9" t="n">
        <x:v>0</x:v>
      </x:c>
      <x:c r="E120" s="10" t="n">
        <x:v>23</x:v>
      </x:c>
      <x:c r="F120" t="str">
        <x:v>Branded</x:v>
      </x:c>
      <x:c r="G120" s="11" t="n">
        <x:f>C120*E120</x:f>
        <x:v>115</x:v>
      </x:c>
    </x:row>
    <x:row r="121">
      <x:c r="A121" t="str">
        <x:v>turnkey product management</x:v>
      </x:c>
      <x:c r="B121" s="8" t="n">
        <x:v>0</x:v>
      </x:c>
      <x:c r="C121" s="8" t="n">
        <x:v>5</x:v>
      </x:c>
      <x:c r="D121" s="9" t="n">
        <x:v>0</x:v>
      </x:c>
      <x:c r="E121" s="10" t="n">
        <x:v>26.8</x:v>
      </x:c>
      <x:c r="F121" t="str">
        <x:v>Branded</x:v>
      </x:c>
      <x:c r="G121" s="11" t="n">
        <x:f>C121*E121</x:f>
        <x:v>134</x:v>
      </x:c>
    </x:row>
    <x:row r="122">
      <x:c r="A122" t="str">
        <x:v>mechanic social media marketing</x:v>
      </x:c>
      <x:c r="B122" s="8" t="n">
        <x:v>0</x:v>
      </x:c>
      <x:c r="C122" s="8" t="n">
        <x:v>5</x:v>
      </x:c>
      <x:c r="D122" s="9" t="n">
        <x:v>0</x:v>
      </x:c>
      <x:c r="E122" s="10" t="n">
        <x:v>36.6</x:v>
      </x:c>
      <x:c r="F122" t="str">
        <x:v>Social Media</x:v>
      </x:c>
      <x:c r="G122" s="11" t="n">
        <x:f>C122*E122</x:f>
        <x:v>183</x:v>
      </x:c>
    </x:row>
    <x:row r="123">
      <x:c r="A123" t="str">
        <x:v>tire shop marketing agency</x:v>
      </x:c>
      <x:c r="B123" s="8" t="n">
        <x:v>0</x:v>
      </x:c>
      <x:c r="C123" s="8" t="n">
        <x:v>5</x:v>
      </x:c>
      <x:c r="D123" s="9" t="n">
        <x:v>0</x:v>
      </x:c>
      <x:c r="E123" s="10" t="n">
        <x:v>43.2</x:v>
      </x:c>
      <x:c r="F123" t="str">
        <x:v>Agency / Consultant</x:v>
      </x:c>
      <x:c r="G123" s="11" t="n">
        <x:f>C123*E123</x:f>
        <x:v>216</x:v>
      </x:c>
    </x:row>
    <x:row r="124">
      <x:c r="A124" t="str">
        <x:v>auto service marketing</x:v>
      </x:c>
      <x:c r="B124" s="8" t="n">
        <x:v>0</x:v>
      </x:c>
      <x:c r="C124" s="8" t="n">
        <x:v>5</x:v>
      </x:c>
      <x:c r="D124" s="9" t="n">
        <x:v>0</x:v>
      </x:c>
      <x:c r="E124" s="10" t="n">
        <x:v>45</x:v>
      </x:c>
      <x:c r="F124" t="str">
        <x:v>Other</x:v>
      </x:c>
      <x:c r="G124" s="11" t="n">
        <x:f>C124*E124</x:f>
        <x:v>225</x:v>
      </x:c>
    </x:row>
    <x:row r="125">
      <x:c r="A125" t="str">
        <x:v>automotive repair direct mail</x:v>
      </x:c>
      <x:c r="B125" s="8" t="n">
        <x:v>0</x:v>
      </x:c>
      <x:c r="C125" s="8" t="n">
        <x:v>5</x:v>
      </x:c>
      <x:c r="D125" s="9" t="n">
        <x:v>0</x:v>
      </x:c>
      <x:c r="E125" s="10" t="n">
        <x:v>46</x:v>
      </x:c>
      <x:c r="F125" t="str">
        <x:v>Direct Mail</x:v>
      </x:c>
      <x:c r="G125" s="11" t="n">
        <x:f>C125*E125</x:f>
        <x:v>230</x:v>
      </x:c>
    </x:row>
    <x:row r="126">
      <x:c r="A126" t="str">
        <x:v>how to get more customers for auto repair shop</x:v>
      </x:c>
      <x:c r="B126" s="8" t="n">
        <x:v>0</x:v>
      </x:c>
      <x:c r="C126" s="8" t="n">
        <x:v>5</x:v>
      </x:c>
      <x:c r="D126" s="9" t="n">
        <x:v>0</x:v>
      </x:c>
      <x:c r="E126" s="10" t="n">
        <x:v>55.2</x:v>
      </x:c>
      <x:c r="F126" t="str">
        <x:v>Lead Generation / Growth</x:v>
      </x:c>
      <x:c r="G126" s="11" t="n">
        <x:f>C126*E126</x:f>
        <x:v>276</x:v>
      </x:c>
    </x:row>
    <x:row r="127">
      <x:c r="A127" t="str">
        <x:v>auto mechanic marketing</x:v>
      </x:c>
      <x:c r="B127" s="8" t="n">
        <x:v>0</x:v>
      </x:c>
      <x:c r="C127" s="8" t="n">
        <x:v>5</x:v>
      </x:c>
      <x:c r="D127" s="9" t="n">
        <x:v>0</x:v>
      </x:c>
      <x:c r="E127" s="10" t="n">
        <x:v>55.8</x:v>
      </x:c>
      <x:c r="F127" t="str">
        <x:v>Core Marketing</x:v>
      </x:c>
      <x:c r="G127" s="11" t="n">
        <x:f>C127*E127</x:f>
        <x:v>279</x:v>
      </x:c>
    </x:row>
    <x:row r="128">
      <x:c r="A128" t="str">
        <x:v>auto shop marketing</x:v>
      </x:c>
      <x:c r="B128" s="8" t="n">
        <x:v>0</x:v>
      </x:c>
      <x:c r="C128" s="8" t="n">
        <x:v>5</x:v>
      </x:c>
      <x:c r="D128" s="9" t="n">
        <x:v>0</x:v>
      </x:c>
      <x:c r="E128" s="10" t="n">
        <x:v>57.6</x:v>
      </x:c>
      <x:c r="F128" t="str">
        <x:v>Core Marketing</x:v>
      </x:c>
      <x:c r="G128" s="11" t="n">
        <x:f>C128*E128</x:f>
        <x:v>288</x:v>
      </x:c>
    </x:row>
    <x:row r="129">
      <x:c r="A129" t="str">
        <x:v>auto repair ppc</x:v>
      </x:c>
      <x:c r="B129" s="8" t="n">
        <x:v>0</x:v>
      </x:c>
      <x:c r="C129" s="8" t="n">
        <x:v>5</x:v>
      </x:c>
      <x:c r="D129" s="9" t="n">
        <x:v>0</x:v>
      </x:c>
      <x:c r="E129" s="10" t="n">
        <x:v>83.6</x:v>
      </x:c>
      <x:c r="F129" t="str">
        <x:v>Other</x:v>
      </x:c>
      <x:c r="G129" s="11" t="n">
        <x:f>C129*E129</x:f>
        <x:v>418</x:v>
      </x:c>
    </x:row>
    <x:row r="130">
      <x:c r="A130" t="str">
        <x:v>digital marketing agency automotive</x:v>
      </x:c>
      <x:c r="B130" s="8" t="n">
        <x:v>0</x:v>
      </x:c>
      <x:c r="C130" s="8" t="n">
        <x:v>4</x:v>
      </x:c>
      <x:c r="D130" s="9" t="n">
        <x:v>0</x:v>
      </x:c>
      <x:c r="E130" s="10" t="n">
        <x:v>1</x:v>
      </x:c>
      <x:c r="F130" t="str">
        <x:v>Agency / Consultant</x:v>
      </x:c>
      <x:c r="G130" s="11" t="n">
        <x:f>C130*E130</x:f>
        <x:v>4</x:v>
      </x:c>
    </x:row>
    <x:row r="131">
      <x:c r="A131" t="str">
        <x:v>auto marketing agency</x:v>
      </x:c>
      <x:c r="B131" s="8" t="n">
        <x:v>0</x:v>
      </x:c>
      <x:c r="C131" s="8" t="n">
        <x:v>4</x:v>
      </x:c>
      <x:c r="D131" s="9" t="n">
        <x:v>0</x:v>
      </x:c>
      <x:c r="E131" s="10" t="n">
        <x:v>5.5</x:v>
      </x:c>
      <x:c r="F131" t="str">
        <x:v>Agency / Consultant</x:v>
      </x:c>
      <x:c r="G131" s="11" t="n">
        <x:f>C131*E131</x:f>
        <x:v>22</x:v>
      </x:c>
    </x:row>
    <x:row r="132">
      <x:c r="A132" t="str">
        <x:v>auto dealer marketing agencies</x:v>
      </x:c>
      <x:c r="B132" s="8" t="n">
        <x:v>0</x:v>
      </x:c>
      <x:c r="C132" s="8" t="n">
        <x:v>4</x:v>
      </x:c>
      <x:c r="D132" s="9" t="n">
        <x:v>0</x:v>
      </x:c>
      <x:c r="E132" s="10" t="n">
        <x:v>7.25</x:v>
      </x:c>
      <x:c r="F132" t="str">
        <x:v>Other</x:v>
      </x:c>
      <x:c r="G132" s="11" t="n">
        <x:f>C132*E132</x:f>
        <x:v>29</x:v>
      </x:c>
    </x:row>
    <x:row r="133">
      <x:c r="A133" t="str">
        <x:v>defining customer avatars for your auto repair shop</x:v>
      </x:c>
      <x:c r="B133" s="8" t="n">
        <x:v>0</x:v>
      </x:c>
      <x:c r="C133" s="8" t="n">
        <x:v>4</x:v>
      </x:c>
      <x:c r="D133" s="9" t="n">
        <x:v>0</x:v>
      </x:c>
      <x:c r="E133" s="10" t="n">
        <x:v>7.75</x:v>
      </x:c>
      <x:c r="F133" t="str">
        <x:v>Customer Avatar</x:v>
      </x:c>
      <x:c r="G133" s="11" t="n">
        <x:f>C133*E133</x:f>
        <x:v>31</x:v>
      </x:c>
    </x:row>
    <x:row r="134">
      <x:c r="A134" t="str">
        <x:v>turn key auto repair</x:v>
      </x:c>
      <x:c r="B134" s="8" t="n">
        <x:v>0</x:v>
      </x:c>
      <x:c r="C134" s="8" t="n">
        <x:v>4</x:v>
      </x:c>
      <x:c r="D134" s="9" t="n">
        <x:v>0</x:v>
      </x:c>
      <x:c r="E134" s="10" t="n">
        <x:v>9.25</x:v>
      </x:c>
      <x:c r="F134" t="str">
        <x:v>Other</x:v>
      </x:c>
      <x:c r="G134" s="11" t="n">
        <x:f>C134*E134</x:f>
        <x:v>37</x:v>
      </x:c>
    </x:row>
    <x:row r="135">
      <x:c r="A135" t="str">
        <x:v>auto mechanic digital marketing</x:v>
      </x:c>
      <x:c r="B135" s="8" t="n">
        <x:v>0</x:v>
      </x:c>
      <x:c r="C135" s="8" t="n">
        <x:v>4</x:v>
      </x:c>
      <x:c r="D135" s="9" t="n">
        <x:v>0</x:v>
      </x:c>
      <x:c r="E135" s="10" t="n">
        <x:v>28</x:v>
      </x:c>
      <x:c r="F135" t="str">
        <x:v>Digital Marketing</x:v>
      </x:c>
      <x:c r="G135" s="11" t="n">
        <x:f>C135*E135</x:f>
        <x:v>112</x:v>
      </x:c>
    </x:row>
    <x:row r="136">
      <x:c r="A136" t="str">
        <x:v>auto shop direct mail</x:v>
      </x:c>
      <x:c r="B136" s="8" t="n">
        <x:v>0</x:v>
      </x:c>
      <x:c r="C136" s="8" t="n">
        <x:v>4</x:v>
      </x:c>
      <x:c r="D136" s="9" t="n">
        <x:v>0</x:v>
      </x:c>
      <x:c r="E136" s="10" t="n">
        <x:v>38.75</x:v>
      </x:c>
      <x:c r="F136" t="str">
        <x:v>Direct Mail</x:v>
      </x:c>
      <x:c r="G136" s="11" t="n">
        <x:f>C136*E136</x:f>
        <x:v>155</x:v>
      </x:c>
    </x:row>
    <x:row r="137">
      <x:c r="A137" t="str">
        <x:v>auto body shop marketing plan</x:v>
      </x:c>
      <x:c r="B137" s="8" t="n">
        <x:v>0</x:v>
      </x:c>
      <x:c r="C137" s="8" t="n">
        <x:v>4</x:v>
      </x:c>
      <x:c r="D137" s="9" t="n">
        <x:v>0</x:v>
      </x:c>
      <x:c r="E137" s="10" t="n">
        <x:v>48.25</x:v>
      </x:c>
      <x:c r="F137" t="str">
        <x:v>Marketing Plan / Strategy</x:v>
      </x:c>
      <x:c r="G137" s="11" t="n">
        <x:f>C137*E137</x:f>
        <x:v>193</x:v>
      </x:c>
    </x:row>
    <x:row r="138">
      <x:c r="A138" t="str">
        <x:v>marketing for auto shops</x:v>
      </x:c>
      <x:c r="B138" s="8" t="n">
        <x:v>0</x:v>
      </x:c>
      <x:c r="C138" s="8" t="n">
        <x:v>4</x:v>
      </x:c>
      <x:c r="D138" s="9" t="n">
        <x:v>0</x:v>
      </x:c>
      <x:c r="E138" s="10" t="n">
        <x:v>53.5</x:v>
      </x:c>
      <x:c r="F138" t="str">
        <x:v>Other</x:v>
      </x:c>
      <x:c r="G138" s="11" t="n">
        <x:f>C138*E138</x:f>
        <x:v>214</x:v>
      </x:c>
    </x:row>
    <x:row r="139">
      <x:c r="A139" t="str">
        <x:v>auto repair customer communication</x:v>
      </x:c>
      <x:c r="B139" s="8" t="n">
        <x:v>0</x:v>
      </x:c>
      <x:c r="C139" s="8" t="n">
        <x:v>4</x:v>
      </x:c>
      <x:c r="D139" s="9" t="n">
        <x:v>0</x:v>
      </x:c>
      <x:c r="E139" s="10" t="n">
        <x:v>60.25</x:v>
      </x:c>
      <x:c r="F139" t="str">
        <x:v>Other</x:v>
      </x:c>
      <x:c r="G139" s="11" t="n">
        <x:f>C139*E139</x:f>
        <x:v>241</x:v>
      </x:c>
    </x:row>
    <x:row r="140">
      <x:c r="A140" t="str">
        <x:v>seo plan example for auto repair</x:v>
      </x:c>
      <x:c r="B140" s="8" t="n">
        <x:v>0</x:v>
      </x:c>
      <x:c r="C140" s="8" t="n">
        <x:v>4</x:v>
      </x:c>
      <x:c r="D140" s="9" t="n">
        <x:v>0</x:v>
      </x:c>
      <x:c r="E140" s="10" t="n">
        <x:v>67.5</x:v>
      </x:c>
      <x:c r="F140" t="str">
        <x:v>Other</x:v>
      </x:c>
      <x:c r="G140" s="11" t="n">
        <x:f>C140*E140</x:f>
        <x:v>270</x:v>
      </x:c>
    </x:row>
    <x:row r="141">
      <x:c r="A141" t="str">
        <x:v>how to get more auto repair customers</x:v>
      </x:c>
      <x:c r="B141" s="8" t="n">
        <x:v>0</x:v>
      </x:c>
      <x:c r="C141" s="8" t="n">
        <x:v>4</x:v>
      </x:c>
      <x:c r="D141" s="9" t="n">
        <x:v>0</x:v>
      </x:c>
      <x:c r="E141" s="10" t="n">
        <x:v>68.25</x:v>
      </x:c>
      <x:c r="F141" t="str">
        <x:v>Other</x:v>
      </x:c>
      <x:c r="G141" s="11" t="n">
        <x:f>C141*E141</x:f>
        <x:v>273</x:v>
      </x:c>
    </x:row>
    <x:row r="142">
      <x:c r="A142" t="str">
        <x:v>automotive mail marketing</x:v>
      </x:c>
      <x:c r="B142" s="8" t="n">
        <x:v>0</x:v>
      </x:c>
      <x:c r="C142" s="8" t="n">
        <x:v>4</x:v>
      </x:c>
      <x:c r="D142" s="9" t="n">
        <x:v>0</x:v>
      </x:c>
      <x:c r="E142" s="10" t="n">
        <x:v>70.25</x:v>
      </x:c>
      <x:c r="F142" t="str">
        <x:v>Core Marketing</x:v>
      </x:c>
      <x:c r="G142" s="11" t="n">
        <x:f>C142*E142</x:f>
        <x:v>281</x:v>
      </x:c>
    </x:row>
    <x:row r="143">
      <x:c r="A143" t="str">
        <x:v>restoration shop marketing consulting</x:v>
      </x:c>
      <x:c r="B143" s="8" t="n">
        <x:v>0</x:v>
      </x:c>
      <x:c r="C143" s="8" t="n">
        <x:v>3</x:v>
      </x:c>
      <x:c r="D143" s="9" t="n">
        <x:v>0</x:v>
      </x:c>
      <x:c r="E143" s="10" t="n">
        <x:v>6.33</x:v>
      </x:c>
      <x:c r="F143" t="str">
        <x:v>Other</x:v>
      </x:c>
      <x:c r="G143" s="11" t="n">
        <x:f>C143*E143</x:f>
        <x:v>18.990000000000002</x:v>
      </x:c>
    </x:row>
    <x:row r="144">
      <x:c r="A144" t="str">
        <x:v>turnkey in-store marketing execution providers</x:v>
      </x:c>
      <x:c r="B144" s="8" t="n">
        <x:v>0</x:v>
      </x:c>
      <x:c r="C144" s="8" t="n">
        <x:v>3</x:v>
      </x:c>
      <x:c r="D144" s="9" t="n">
        <x:v>0</x:v>
      </x:c>
      <x:c r="E144" s="10" t="n">
        <x:v>8</x:v>
      </x:c>
      <x:c r="F144" t="str">
        <x:v>Branded</x:v>
      </x:c>
      <x:c r="G144" s="11" t="n">
        <x:f>C144*E144</x:f>
        <x:v>24</x:v>
      </x:c>
    </x:row>
    <x:row r="145">
      <x:c r="A145" t="str">
        <x:v>auto marketing experts</x:v>
      </x:c>
      <x:c r="B145" s="8" t="n">
        <x:v>0</x:v>
      </x:c>
      <x:c r="C145" s="8" t="n">
        <x:v>3</x:v>
      </x:c>
      <x:c r="D145" s="9" t="n">
        <x:v>0</x:v>
      </x:c>
      <x:c r="E145" s="10" t="n">
        <x:v>18.33</x:v>
      </x:c>
      <x:c r="F145" t="str">
        <x:v>Other</x:v>
      </x:c>
      <x:c r="G145" s="11" t="n">
        <x:f>C145*E145</x:f>
        <x:v>54.989999999999995</x:v>
      </x:c>
    </x:row>
    <x:row r="146">
      <x:c r="A146" t="str">
        <x:v>auto repair marketing ultimate guide</x:v>
      </x:c>
      <x:c r="B146" s="8" t="n">
        <x:v>0</x:v>
      </x:c>
      <x:c r="C146" s="8" t="n">
        <x:v>3</x:v>
      </x:c>
      <x:c r="D146" s="9" t="n">
        <x:v>0</x:v>
      </x:c>
      <x:c r="E146" s="10" t="n">
        <x:v>18.67</x:v>
      </x:c>
      <x:c r="F146" t="str">
        <x:v>Core Marketing</x:v>
      </x:c>
      <x:c r="G146" s="11" t="n">
        <x:f>C146*E146</x:f>
        <x:v>56.010000000000005</x:v>
      </x:c>
    </x:row>
    <x:row r="147">
      <x:c r="A147" t="str">
        <x:v>full service marketing automotive</x:v>
      </x:c>
      <x:c r="B147" s="8" t="n">
        <x:v>0</x:v>
      </x:c>
      <x:c r="C147" s="8" t="n">
        <x:v>3</x:v>
      </x:c>
      <x:c r="D147" s="9" t="n">
        <x:v>0</x:v>
      </x:c>
      <x:c r="E147" s="10" t="n">
        <x:v>21.67</x:v>
      </x:c>
      <x:c r="F147" t="str">
        <x:v>Other</x:v>
      </x:c>
      <x:c r="G147" s="11" t="n">
        <x:f>C147*E147</x:f>
        <x:v>65.01</x:v>
      </x:c>
    </x:row>
    <x:row r="148">
      <x:c r="A148" t="str">
        <x:v>auto parts marketing services</x:v>
      </x:c>
      <x:c r="B148" s="8" t="n">
        <x:v>0</x:v>
      </x:c>
      <x:c r="C148" s="8" t="n">
        <x:v>3</x:v>
      </x:c>
      <x:c r="D148" s="9" t="n">
        <x:v>0</x:v>
      </x:c>
      <x:c r="E148" s="10" t="n">
        <x:v>39.67</x:v>
      </x:c>
      <x:c r="F148" t="str">
        <x:v>Marketing Services</x:v>
      </x:c>
      <x:c r="G148" s="11" t="n">
        <x:f>C148*E148</x:f>
        <x:v>119.01</x:v>
      </x:c>
    </x:row>
    <x:row r="149">
      <x:c r="A149" t="str">
        <x:v>auto repair digital marketing company</x:v>
      </x:c>
      <x:c r="B149" s="8" t="n">
        <x:v>0</x:v>
      </x:c>
      <x:c r="C149" s="8" t="n">
        <x:v>3</x:v>
      </x:c>
      <x:c r="D149" s="9" t="n">
        <x:v>0</x:v>
      </x:c>
      <x:c r="E149" s="10" t="n">
        <x:v>41.67</x:v>
      </x:c>
      <x:c r="F149" t="str">
        <x:v>Agency / Consultant</x:v>
      </x:c>
      <x:c r="G149" s="11" t="n">
        <x:f>C149*E149</x:f>
        <x:v>125.01</x:v>
      </x:c>
    </x:row>
    <x:row r="150">
      <x:c r="A150" t="str">
        <x:v>turnkey marketing platforms</x:v>
      </x:c>
      <x:c r="B150" s="8" t="n">
        <x:v>0</x:v>
      </x:c>
      <x:c r="C150" s="8" t="n">
        <x:v>3</x:v>
      </x:c>
      <x:c r="D150" s="9" t="n">
        <x:v>0</x:v>
      </x:c>
      <x:c r="E150" s="10" t="n">
        <x:v>49</x:v>
      </x:c>
      <x:c r="F150" t="str">
        <x:v>Branded</x:v>
      </x:c>
      <x:c r="G150" s="11" t="n">
        <x:f>C150*E150</x:f>
        <x:v>147</x:v>
      </x:c>
    </x:row>
    <x:row r="151">
      <x:c r="A151" t="str">
        <x:v>car repair marketing</x:v>
      </x:c>
      <x:c r="B151" s="8" t="n">
        <x:v>0</x:v>
      </x:c>
      <x:c r="C151" s="8" t="n">
        <x:v>3</x:v>
      </x:c>
      <x:c r="D151" s="9" t="n">
        <x:v>0</x:v>
      </x:c>
      <x:c r="E151" s="10" t="n">
        <x:v>49.67</x:v>
      </x:c>
      <x:c r="F151" t="str">
        <x:v>Other</x:v>
      </x:c>
      <x:c r="G151" s="11" t="n">
        <x:f>C151*E151</x:f>
        <x:v>149.01</x:v>
      </x:c>
    </x:row>
    <x:row r="152">
      <x:c r="A152" t="str">
        <x:v>marketing an auto repair business</x:v>
      </x:c>
      <x:c r="B152" s="8" t="n">
        <x:v>0</x:v>
      </x:c>
      <x:c r="C152" s="8" t="n">
        <x:v>3</x:v>
      </x:c>
      <x:c r="D152" s="9" t="n">
        <x:v>0</x:v>
      </x:c>
      <x:c r="E152" s="10" t="n">
        <x:v>56.67</x:v>
      </x:c>
      <x:c r="F152" t="str">
        <x:v>Other</x:v>
      </x:c>
      <x:c r="G152" s="11" t="n">
        <x:f>C152*E152</x:f>
        <x:v>170.01</x:v>
      </x:c>
    </x:row>
    <x:row r="153">
      <x:c r="A153" t="str">
        <x:v>marketing for car repair shops</x:v>
      </x:c>
      <x:c r="B153" s="8" t="n">
        <x:v>0</x:v>
      </x:c>
      <x:c r="C153" s="8" t="n">
        <x:v>3</x:v>
      </x:c>
      <x:c r="D153" s="9" t="n">
        <x:v>0</x:v>
      </x:c>
      <x:c r="E153" s="10" t="n">
        <x:v>57.33</x:v>
      </x:c>
      <x:c r="F153" t="str">
        <x:v>Other</x:v>
      </x:c>
      <x:c r="G153" s="11" t="n">
        <x:f>C153*E153</x:f>
        <x:v>171.99</x:v>
      </x:c>
    </x:row>
    <x:row r="154">
      <x:c r="A154" t="str">
        <x:v>marketing strategy for auto repair shop</x:v>
      </x:c>
      <x:c r="B154" s="8" t="n">
        <x:v>0</x:v>
      </x:c>
      <x:c r="C154" s="8" t="n">
        <x:v>3</x:v>
      </x:c>
      <x:c r="D154" s="9" t="n">
        <x:v>0</x:v>
      </x:c>
      <x:c r="E154" s="10" t="n">
        <x:v>59.33</x:v>
      </x:c>
      <x:c r="F154" t="str">
        <x:v>Marketing Plan / Strategy</x:v>
      </x:c>
      <x:c r="G154" s="11" t="n">
        <x:f>C154*E154</x:f>
        <x:v>177.99</x:v>
      </x:c>
    </x:row>
    <x:row r="155">
      <x:c r="A155" t="str">
        <x:v>marketing reporting overland park kansas</x:v>
      </x:c>
      <x:c r="B155" s="8" t="n">
        <x:v>0</x:v>
      </x:c>
      <x:c r="C155" s="8" t="n">
        <x:v>3</x:v>
      </x:c>
      <x:c r="D155" s="9" t="n">
        <x:v>0</x:v>
      </x:c>
      <x:c r="E155" s="10" t="n">
        <x:v>69</x:v>
      </x:c>
      <x:c r="F155" t="str">
        <x:v>Other</x:v>
      </x:c>
      <x:c r="G155" s="11" t="n">
        <x:f>C155*E155</x:f>
        <x:v>207</x:v>
      </x:c>
    </x:row>
    <x:row r="156">
      <x:c r="A156" t="str">
        <x:v>digital marketing reporting overland park ks</x:v>
      </x:c>
      <x:c r="B156" s="8" t="n">
        <x:v>0</x:v>
      </x:c>
      <x:c r="C156" s="8" t="n">
        <x:v>2</x:v>
      </x:c>
      <x:c r="D156" s="9" t="n">
        <x:v>0</x:v>
      </x:c>
      <x:c r="E156" s="10" t="n">
        <x:v>1</x:v>
      </x:c>
      <x:c r="F156" t="str">
        <x:v>Digital Marketing</x:v>
      </x:c>
      <x:c r="G156" s="11" t="n">
        <x:f>C156*E156</x:f>
        <x:v>2</x:v>
      </x:c>
    </x:row>
    <x:row r="157">
      <x:c r="A157" t="str">
        <x:v>inbound marketing overland park</x:v>
      </x:c>
      <x:c r="B157" s="8" t="n">
        <x:v>0</x:v>
      </x:c>
      <x:c r="C157" s="8" t="n">
        <x:v>2</x:v>
      </x:c>
      <x:c r="D157" s="9" t="n">
        <x:v>0</x:v>
      </x:c>
      <x:c r="E157" s="10" t="n">
        <x:v>1</x:v>
      </x:c>
      <x:c r="F157" t="str">
        <x:v>Other</x:v>
      </x:c>
      <x:c r="G157" s="11" t="n">
        <x:f>C157*E157</x:f>
        <x:v>2</x:v>
      </x:c>
    </x:row>
    <x:row r="158">
      <x:c r="A158" t="str">
        <x:v>kansas city linkedin marketing</x:v>
      </x:c>
      <x:c r="B158" s="8" t="n">
        <x:v>0</x:v>
      </x:c>
      <x:c r="C158" s="8" t="n">
        <x:v>2</x:v>
      </x:c>
      <x:c r="D158" s="9" t="n">
        <x:v>0</x:v>
      </x:c>
      <x:c r="E158" s="10" t="n">
        <x:v>1</x:v>
      </x:c>
      <x:c r="F158" t="str">
        <x:v>Other</x:v>
      </x:c>
      <x:c r="G158" s="11" t="n">
        <x:f>C158*E158</x:f>
        <x:v>2</x:v>
      </x:c>
    </x:row>
    <x:row r="159">
      <x:c r="A159" t="str">
        <x:v>online marketing overland park</x:v>
      </x:c>
      <x:c r="B159" s="8" t="n">
        <x:v>0</x:v>
      </x:c>
      <x:c r="C159" s="8" t="n">
        <x:v>2</x:v>
      </x:c>
      <x:c r="D159" s="9" t="n">
        <x:v>0</x:v>
      </x:c>
      <x:c r="E159" s="10" t="n">
        <x:v>1</x:v>
      </x:c>
      <x:c r="F159" t="str">
        <x:v>Other</x:v>
      </x:c>
      <x:c r="G159" s="11" t="n">
        <x:f>C159*E159</x:f>
        <x:v>2</x:v>
      </x:c>
    </x:row>
    <x:row r="160">
      <x:c r="A160" t="str">
        <x:v>turnkey marketing firm nj</x:v>
      </x:c>
      <x:c r="B160" s="8" t="n">
        <x:v>0</x:v>
      </x:c>
      <x:c r="C160" s="8" t="n">
        <x:v>2</x:v>
      </x:c>
      <x:c r="D160" s="9" t="n">
        <x:v>0</x:v>
      </x:c>
      <x:c r="E160" s="10" t="n">
        <x:v>3.5</x:v>
      </x:c>
      <x:c r="F160" t="str">
        <x:v>Branded</x:v>
      </x:c>
      <x:c r="G160" s="11" t="n">
        <x:f>C160*E160</x:f>
        <x:v>7</x:v>
      </x:c>
    </x:row>
    <x:row r="161">
      <x:c r="A161" t="str">
        <x:v>best marketing agency for auto repair shops. my location is usa.</x:v>
      </x:c>
      <x:c r="B161" s="8" t="n">
        <x:v>0</x:v>
      </x:c>
      <x:c r="C161" s="8" t="n">
        <x:v>2</x:v>
      </x:c>
      <x:c r="D161" s="9" t="n">
        <x:v>0</x:v>
      </x:c>
      <x:c r="E161" s="10" t="n">
        <x:v>5.5</x:v>
      </x:c>
      <x:c r="F161" t="str">
        <x:v>Comparison / Companies</x:v>
      </x:c>
      <x:c r="G161" s="11" t="n">
        <x:f>C161*E161</x:f>
        <x:v>11</x:v>
      </x:c>
    </x:row>
    <x:row r="162">
      <x:c r="A162" t="str">
        <x:v>turnkey repair</x:v>
      </x:c>
      <x:c r="B162" s="8" t="n">
        <x:v>0</x:v>
      </x:c>
      <x:c r="C162" s="8" t="n">
        <x:v>2</x:v>
      </x:c>
      <x:c r="D162" s="9" t="n">
        <x:v>0</x:v>
      </x:c>
      <x:c r="E162" s="10" t="n">
        <x:v>7.5</x:v>
      </x:c>
      <x:c r="F162" t="str">
        <x:v>Branded</x:v>
      </x:c>
      <x:c r="G162" s="11" t="n">
        <x:f>C162*E162</x:f>
        <x:v>15</x:v>
      </x:c>
    </x:row>
    <x:row r="163">
      <x:c r="A163" t="str">
        <x:v>automotive marketing services. my location is usa.</x:v>
      </x:c>
      <x:c r="B163" s="8" t="n">
        <x:v>0</x:v>
      </x:c>
      <x:c r="C163" s="8" t="n">
        <x:v>2</x:v>
      </x:c>
      <x:c r="D163" s="9" t="n">
        <x:v>0</x:v>
      </x:c>
      <x:c r="E163" s="10" t="n">
        <x:v>12</x:v>
      </x:c>
      <x:c r="F163" t="str">
        <x:v>Marketing Services</x:v>
      </x:c>
      <x:c r="G163" s="11" t="n">
        <x:f>C163*E163</x:f>
        <x:v>24</x:v>
      </x:c>
    </x:row>
    <x:row r="164">
      <x:c r="A164" t="str">
        <x:v>marketing agency for mechanics. my location is usa.</x:v>
      </x:c>
      <x:c r="B164" s="8" t="n">
        <x:v>0</x:v>
      </x:c>
      <x:c r="C164" s="8" t="n">
        <x:v>2</x:v>
      </x:c>
      <x:c r="D164" s="9" t="n">
        <x:v>0</x:v>
      </x:c>
      <x:c r="E164" s="10" t="n">
        <x:v>14.5</x:v>
      </x:c>
      <x:c r="F164" t="str">
        <x:v>Agency / Consultant</x:v>
      </x:c>
      <x:c r="G164" s="11" t="n">
        <x:f>C164*E164</x:f>
        <x:v>29</x:v>
      </x:c>
    </x:row>
    <x:row r="165">
      <x:c r="A165" t="str">
        <x:v>auto repair marketing atlanta</x:v>
      </x:c>
      <x:c r="B165" s="8" t="n">
        <x:v>0</x:v>
      </x:c>
      <x:c r="C165" s="8" t="n">
        <x:v>2</x:v>
      </x:c>
      <x:c r="D165" s="9" t="n">
        <x:v>0</x:v>
      </x:c>
      <x:c r="E165" s="10" t="n">
        <x:v>20</x:v>
      </x:c>
      <x:c r="F165" t="str">
        <x:v>Core Marketing</x:v>
      </x:c>
      <x:c r="G165" s="11" t="n">
        <x:f>C165*E165</x:f>
        <x:v>40</x:v>
      </x:c>
    </x:row>
    <x:row r="166">
      <x:c r="A166" t="str">
        <x:v>multi-location marketing playbook auto repair</x:v>
      </x:c>
      <x:c r="B166" s="8" t="n">
        <x:v>0</x:v>
      </x:c>
      <x:c r="C166" s="8" t="n">
        <x:v>2</x:v>
      </x:c>
      <x:c r="D166" s="9" t="n">
        <x:v>0</x:v>
      </x:c>
      <x:c r="E166" s="10" t="n">
        <x:v>20.5</x:v>
      </x:c>
      <x:c r="F166" t="str">
        <x:v>Multi-Location Marketing</x:v>
      </x:c>
      <x:c r="G166" s="11" t="n">
        <x:f>C166*E166</x:f>
        <x:v>41</x:v>
      </x:c>
    </x:row>
    <x:row r="167">
      <x:c r="A167" t="str">
        <x:v>auto service marketing agency</x:v>
      </x:c>
      <x:c r="B167" s="8" t="n">
        <x:v>0</x:v>
      </x:c>
      <x:c r="C167" s="8" t="n">
        <x:v>2</x:v>
      </x:c>
      <x:c r="D167" s="9" t="n">
        <x:v>0</x:v>
      </x:c>
      <x:c r="E167" s="10" t="n">
        <x:v>25</x:v>
      </x:c>
      <x:c r="F167" t="str">
        <x:v>Agency / Consultant</x:v>
      </x:c>
      <x:c r="G167" s="11" t="n">
        <x:f>C167*E167</x:f>
        <x:v>50</x:v>
      </x:c>
    </x:row>
    <x:row r="168">
      <x:c r="A168" t="str">
        <x:v>best auto repair marketing company</x:v>
      </x:c>
      <x:c r="B168" s="8" t="n">
        <x:v>0</x:v>
      </x:c>
      <x:c r="C168" s="8" t="n">
        <x:v>2</x:v>
      </x:c>
      <x:c r="D168" s="9" t="n">
        <x:v>0</x:v>
      </x:c>
      <x:c r="E168" s="10" t="n">
        <x:v>25</x:v>
      </x:c>
      <x:c r="F168" t="str">
        <x:v>Comparison / Companies</x:v>
      </x:c>
      <x:c r="G168" s="11" t="n">
        <x:f>C168*E168</x:f>
        <x:v>50</x:v>
      </x:c>
    </x:row>
    <x:row r="169">
      <x:c r="A169" t="str">
        <x:v>auto repair social media company</x:v>
      </x:c>
      <x:c r="B169" s="8" t="n">
        <x:v>0</x:v>
      </x:c>
      <x:c r="C169" s="8" t="n">
        <x:v>2</x:v>
      </x:c>
      <x:c r="D169" s="9" t="n">
        <x:v>0</x:v>
      </x:c>
      <x:c r="E169" s="10" t="n">
        <x:v>26</x:v>
      </x:c>
      <x:c r="F169" t="str">
        <x:v>Social Media</x:v>
      </x:c>
      <x:c r="G169" s="11" t="n">
        <x:f>C169*E169</x:f>
        <x:v>52</x:v>
      </x:c>
    </x:row>
    <x:row r="170">
      <x:c r="A170" t="str">
        <x:v>marketing playbook multi-location auto repair shops</x:v>
      </x:c>
      <x:c r="B170" s="8" t="n">
        <x:v>0</x:v>
      </x:c>
      <x:c r="C170" s="8" t="n">
        <x:v>2</x:v>
      </x:c>
      <x:c r="D170" s="9" t="n">
        <x:v>0</x:v>
      </x:c>
      <x:c r="E170" s="10" t="n">
        <x:v>28.5</x:v>
      </x:c>
      <x:c r="F170" t="str">
        <x:v>Multi-Location Marketing</x:v>
      </x:c>
      <x:c r="G170" s="11" t="n">
        <x:f>C170*E170</x:f>
        <x:v>57</x:v>
      </x:c>
    </x:row>
    <x:row r="171">
      <x:c r="A171" t="str">
        <x:v>sample marketing plan for auto repair shop</x:v>
      </x:c>
      <x:c r="B171" s="8" t="n">
        <x:v>0</x:v>
      </x:c>
      <x:c r="C171" s="8" t="n">
        <x:v>2</x:v>
      </x:c>
      <x:c r="D171" s="9" t="n">
        <x:v>0</x:v>
      </x:c>
      <x:c r="E171" s="10" t="n">
        <x:v>31</x:v>
      </x:c>
      <x:c r="F171" t="str">
        <x:v>Marketing Plan / Strategy</x:v>
      </x:c>
      <x:c r="G171" s="11" t="n">
        <x:f>C171*E171</x:f>
        <x:v>62</x:v>
      </x:c>
    </x:row>
    <x:row r="172">
      <x:c r="A172" t="str">
        <x:v>digital marketing consultant for auto restoration</x:v>
      </x:c>
      <x:c r="B172" s="8" t="n">
        <x:v>0</x:v>
      </x:c>
      <x:c r="C172" s="8" t="n">
        <x:v>2</x:v>
      </x:c>
      <x:c r="D172" s="9" t="n">
        <x:v>0</x:v>
      </x:c>
      <x:c r="E172" s="10" t="n">
        <x:v>32.5</x:v>
      </x:c>
      <x:c r="F172" t="str">
        <x:v>Agency / Consultant</x:v>
      </x:c>
      <x:c r="G172" s="11" t="n">
        <x:f>C172*E172</x:f>
        <x:v>65</x:v>
      </x:c>
    </x:row>
    <x:row r="173">
      <x:c r="A173" t="str">
        <x:v>turnkey marketing strategy with proven results</x:v>
      </x:c>
      <x:c r="B173" s="8" t="n">
        <x:v>0</x:v>
      </x:c>
      <x:c r="C173" s="8" t="n">
        <x:v>2</x:v>
      </x:c>
      <x:c r="D173" s="9" t="n">
        <x:v>0</x:v>
      </x:c>
      <x:c r="E173" s="10" t="n">
        <x:v>36.5</x:v>
      </x:c>
      <x:c r="F173" t="str">
        <x:v>Branded</x:v>
      </x:c>
      <x:c r="G173" s="11" t="n">
        <x:f>C173*E173</x:f>
        <x:v>73</x:v>
      </x:c>
    </x:row>
    <x:row r="174">
      <x:c r="A174" t="str">
        <x:v>"vip marketing" "greenville"</x:v>
      </x:c>
      <x:c r="B174" s="8" t="n">
        <x:v>0</x:v>
      </x:c>
      <x:c r="C174" s="8" t="n">
        <x:v>2</x:v>
      </x:c>
      <x:c r="D174" s="9" t="n">
        <x:v>0</x:v>
      </x:c>
      <x:c r="E174" s="10" t="n">
        <x:v>37.5</x:v>
      </x:c>
      <x:c r="F174" t="str">
        <x:v>Other</x:v>
      </x:c>
      <x:c r="G174" s="11" t="n">
        <x:f>C174*E174</x:f>
        <x:v>75</x:v>
      </x:c>
    </x:row>
    <x:row r="175">
      <x:c r="A175" t="str">
        <x:v>automotive service direct mail</x:v>
      </x:c>
      <x:c r="B175" s="8" t="n">
        <x:v>0</x:v>
      </x:c>
      <x:c r="C175" s="8" t="n">
        <x:v>2</x:v>
      </x:c>
      <x:c r="D175" s="9" t="n">
        <x:v>0</x:v>
      </x:c>
      <x:c r="E175" s="10" t="n">
        <x:v>40.5</x:v>
      </x:c>
      <x:c r="F175" t="str">
        <x:v>Direct Mail</x:v>
      </x:c>
      <x:c r="G175" s="11" t="n">
        <x:f>C175*E175</x:f>
        <x:v>81</x:v>
      </x:c>
    </x:row>
    <x:row r="176">
      <x:c r="A176" t="str">
        <x:v>auto repair shop social media</x:v>
      </x:c>
      <x:c r="B176" s="8" t="n">
        <x:v>0</x:v>
      </x:c>
      <x:c r="C176" s="8" t="n">
        <x:v>2</x:v>
      </x:c>
      <x:c r="D176" s="9" t="n">
        <x:v>0</x:v>
      </x:c>
      <x:c r="E176" s="10" t="n">
        <x:v>48.5</x:v>
      </x:c>
      <x:c r="F176" t="str">
        <x:v>Social Media</x:v>
      </x:c>
      <x:c r="G176" s="11" t="n">
        <x:f>C176*E176</x:f>
        <x:v>97</x:v>
      </x:c>
    </x:row>
    <x:row r="177">
      <x:c r="A177" t="str">
        <x:v>auto repair online marketing</x:v>
      </x:c>
      <x:c r="B177" s="8" t="n">
        <x:v>0</x:v>
      </x:c>
      <x:c r="C177" s="8" t="n">
        <x:v>2</x:v>
      </x:c>
      <x:c r="D177" s="9" t="n">
        <x:v>0</x:v>
      </x:c>
      <x:c r="E177" s="10" t="n">
        <x:v>49</x:v>
      </x:c>
      <x:c r="F177" t="str">
        <x:v>Core Marketing</x:v>
      </x:c>
      <x:c r="G177" s="11" t="n">
        <x:f>C177*E177</x:f>
        <x:v>98</x:v>
      </x:c>
    </x:row>
    <x:row r="178">
      <x:c r="A178" t="str">
        <x:v>garage business marketing</x:v>
      </x:c>
      <x:c r="B178" s="8" t="n">
        <x:v>0</x:v>
      </x:c>
      <x:c r="C178" s="8" t="n">
        <x:v>2</x:v>
      </x:c>
      <x:c r="D178" s="9" t="n">
        <x:v>0</x:v>
      </x:c>
      <x:c r="E178" s="10" t="n">
        <x:v>51.5</x:v>
      </x:c>
      <x:c r="F178" t="str">
        <x:v>Other</x:v>
      </x:c>
      <x:c r="G178" s="11" t="n">
        <x:f>C178*E178</x:f>
        <x:v>103</x:v>
      </x:c>
    </x:row>
    <x:row r="179">
      <x:c r="A179" t="str">
        <x:v>marketing auto repair</x:v>
      </x:c>
      <x:c r="B179" s="8" t="n">
        <x:v>0</x:v>
      </x:c>
      <x:c r="C179" s="8" t="n">
        <x:v>2</x:v>
      </x:c>
      <x:c r="D179" s="9" t="n">
        <x:v>0</x:v>
      </x:c>
      <x:c r="E179" s="10" t="n">
        <x:v>53</x:v>
      </x:c>
      <x:c r="F179" t="str">
        <x:v>Other</x:v>
      </x:c>
      <x:c r="G179" s="11" t="n">
        <x:f>C179*E179</x:f>
        <x:v>106</x:v>
      </x:c>
    </x:row>
    <x:row r="180">
      <x:c r="A180" t="str">
        <x:v>mechanic shop marketing</x:v>
      </x:c>
      <x:c r="B180" s="8" t="n">
        <x:v>0</x:v>
      </x:c>
      <x:c r="C180" s="8" t="n">
        <x:v>2</x:v>
      </x:c>
      <x:c r="D180" s="9" t="n">
        <x:v>0</x:v>
      </x:c>
      <x:c r="E180" s="10" t="n">
        <x:v>54</x:v>
      </x:c>
      <x:c r="F180" t="str">
        <x:v>Core Marketing</x:v>
      </x:c>
      <x:c r="G180" s="11" t="n">
        <x:f>C180*E180</x:f>
        <x:v>108</x:v>
      </x:c>
    </x:row>
    <x:row r="181">
      <x:c r="A181" t="str">
        <x:v>auto repair shop online marketing</x:v>
      </x:c>
      <x:c r="B181" s="8" t="n">
        <x:v>0</x:v>
      </x:c>
      <x:c r="C181" s="8" t="n">
        <x:v>2</x:v>
      </x:c>
      <x:c r="D181" s="9" t="n">
        <x:v>0</x:v>
      </x:c>
      <x:c r="E181" s="10" t="n">
        <x:v>54.5</x:v>
      </x:c>
      <x:c r="F181" t="str">
        <x:v>Core Marketing</x:v>
      </x:c>
      <x:c r="G181" s="11" t="n">
        <x:f>C181*E181</x:f>
        <x:v>109</x:v>
      </x:c>
    </x:row>
    <x:row r="182">
      <x:c r="A182" t="str">
        <x:v>auto repair b2b lead generation</x:v>
      </x:c>
      <x:c r="B182" s="8" t="n">
        <x:v>0</x:v>
      </x:c>
      <x:c r="C182" s="8" t="n">
        <x:v>2</x:v>
      </x:c>
      <x:c r="D182" s="9" t="n">
        <x:v>0</x:v>
      </x:c>
      <x:c r="E182" s="10" t="n">
        <x:v>56.5</x:v>
      </x:c>
      <x:c r="F182" t="str">
        <x:v>Lead Generation / Growth</x:v>
      </x:c>
      <x:c r="G182" s="11" t="n">
        <x:f>C182*E182</x:f>
        <x:v>113</x:v>
      </x:c>
    </x:row>
    <x:row r="183">
      <x:c r="A183" t="str">
        <x:v>automotive repair shop marketing</x:v>
      </x:c>
      <x:c r="B183" s="8" t="n">
        <x:v>0</x:v>
      </x:c>
      <x:c r="C183" s="8" t="n">
        <x:v>2</x:v>
      </x:c>
      <x:c r="D183" s="9" t="n">
        <x:v>0</x:v>
      </x:c>
      <x:c r="E183" s="10" t="n">
        <x:v>57</x:v>
      </x:c>
      <x:c r="F183" t="str">
        <x:v>Core Marketing</x:v>
      </x:c>
      <x:c r="G183" s="11" t="n">
        <x:f>C183*E183</x:f>
        <x:v>114</x:v>
      </x:c>
    </x:row>
    <x:row r="184">
      <x:c r="A184" t="str">
        <x:v>what is the best marketing for auto repair shop</x:v>
      </x:c>
      <x:c r="B184" s="8" t="n">
        <x:v>0</x:v>
      </x:c>
      <x:c r="C184" s="8" t="n">
        <x:v>2</x:v>
      </x:c>
      <x:c r="D184" s="9" t="n">
        <x:v>0</x:v>
      </x:c>
      <x:c r="E184" s="10" t="n">
        <x:v>63.5</x:v>
      </x:c>
      <x:c r="F184" t="str">
        <x:v>Other</x:v>
      </x:c>
      <x:c r="G184" s="11" t="n">
        <x:f>C184*E184</x:f>
        <x:v>127</x:v>
      </x:c>
    </x:row>
    <x:row r="185">
      <x:c r="A185" t="str">
        <x:v>auto repair shop leads</x:v>
      </x:c>
      <x:c r="B185" s="8" t="n">
        <x:v>0</x:v>
      </x:c>
      <x:c r="C185" s="8" t="n">
        <x:v>2</x:v>
      </x:c>
      <x:c r="D185" s="9" t="n">
        <x:v>0</x:v>
      </x:c>
      <x:c r="E185" s="10" t="n">
        <x:v>64</x:v>
      </x:c>
      <x:c r="F185" t="str">
        <x:v>Other</x:v>
      </x:c>
      <x:c r="G185" s="11" t="n">
        <x:f>C185*E185</x:f>
        <x:v>128</x:v>
      </x:c>
    </x:row>
    <x:row r="186">
      <x:c r="A186" t="str">
        <x:v>car direct mail</x:v>
      </x:c>
      <x:c r="B186" s="8" t="n">
        <x:v>0</x:v>
      </x:c>
      <x:c r="C186" s="8" t="n">
        <x:v>2</x:v>
      </x:c>
      <x:c r="D186" s="9" t="n">
        <x:v>0</x:v>
      </x:c>
      <x:c r="E186" s="10" t="n">
        <x:v>67</x:v>
      </x:c>
      <x:c r="F186" t="str">
        <x:v>Direct Mail</x:v>
      </x:c>
      <x:c r="G186" s="11" t="n">
        <x:f>C186*E186</x:f>
        <x:v>134</x:v>
      </x:c>
    </x:row>
    <x:row r="187">
      <x:c r="A187" t="str">
        <x:v>auto repair seo agency</x:v>
      </x:c>
      <x:c r="B187" s="8" t="n">
        <x:v>0</x:v>
      </x:c>
      <x:c r="C187" s="8" t="n">
        <x:v>2</x:v>
      </x:c>
      <x:c r="D187" s="9" t="n">
        <x:v>0</x:v>
      </x:c>
      <x:c r="E187" s="10" t="n">
        <x:v>67.5</x:v>
      </x:c>
      <x:c r="F187" t="str">
        <x:v>Other</x:v>
      </x:c>
      <x:c r="G187" s="11" t="n">
        <x:f>C187*E187</x:f>
        <x:v>135</x:v>
      </x:c>
    </x:row>
    <x:row r="188">
      <x:c r="A188" t="str">
        <x:v>auto repair ppc marketing</x:v>
      </x:c>
      <x:c r="B188" s="8" t="n">
        <x:v>0</x:v>
      </x:c>
      <x:c r="C188" s="8" t="n">
        <x:v>2</x:v>
      </x:c>
      <x:c r="D188" s="9" t="n">
        <x:v>0</x:v>
      </x:c>
      <x:c r="E188" s="10" t="n">
        <x:v>69.5</x:v>
      </x:c>
      <x:c r="F188" t="str">
        <x:v>Core Marketing</x:v>
      </x:c>
      <x:c r="G188" s="11" t="n">
        <x:f>C188*E188</x:f>
        <x:v>139</x:v>
      </x:c>
    </x:row>
    <x:row r="189">
      <x:c r="A189" t="str">
        <x:v>adwords campaign management for auto repair shop</x:v>
      </x:c>
      <x:c r="B189" s="8" t="n">
        <x:v>0</x:v>
      </x:c>
      <x:c r="C189" s="8" t="n">
        <x:v>2</x:v>
      </x:c>
      <x:c r="D189" s="9" t="n">
        <x:v>0</x:v>
      </x:c>
      <x:c r="E189" s="10" t="n">
        <x:v>70.5</x:v>
      </x:c>
      <x:c r="F189" t="str">
        <x:v>Other</x:v>
      </x:c>
      <x:c r="G189" s="11" t="n">
        <x:f>C189*E189</x:f>
        <x:v>141</x:v>
      </x:c>
    </x:row>
    <x:row r="190">
      <x:c r="A190" t="str">
        <x:v>ppc for auto repair shops</x:v>
      </x:c>
      <x:c r="B190" s="8" t="n">
        <x:v>0</x:v>
      </x:c>
      <x:c r="C190" s="8" t="n">
        <x:v>2</x:v>
      </x:c>
      <x:c r="D190" s="9" t="n">
        <x:v>0</x:v>
      </x:c>
      <x:c r="E190" s="10" t="n">
        <x:v>73</x:v>
      </x:c>
      <x:c r="F190" t="str">
        <x:v>Other</x:v>
      </x:c>
      <x:c r="G190" s="11" t="n">
        <x:f>C190*E190</x:f>
        <x:v>146</x:v>
      </x:c>
    </x:row>
    <x:row r="191">
      <x:c r="A191" t="str">
        <x:v>auto repair shop content marketing</x:v>
      </x:c>
      <x:c r="B191" s="8" t="n">
        <x:v>0</x:v>
      </x:c>
      <x:c r="C191" s="8" t="n">
        <x:v>2</x:v>
      </x:c>
      <x:c r="D191" s="9" t="n">
        <x:v>0</x:v>
      </x:c>
      <x:c r="E191" s="10" t="n">
        <x:v>77</x:v>
      </x:c>
      <x:c r="F191" t="str">
        <x:v>Core Marketing</x:v>
      </x:c>
      <x:c r="G191" s="11" t="n">
        <x:f>C191*E191</x:f>
        <x:v>154</x:v>
      </x:c>
    </x:row>
    <x:row r="192">
      <x:c r="A192" t="str">
        <x:v>automotive direct mail campaigns</x:v>
      </x:c>
      <x:c r="B192" s="8" t="n">
        <x:v>0</x:v>
      </x:c>
      <x:c r="C192" s="8" t="n">
        <x:v>2</x:v>
      </x:c>
      <x:c r="D192" s="9" t="n">
        <x:v>0</x:v>
      </x:c>
      <x:c r="E192" s="10" t="n">
        <x:v>80</x:v>
      </x:c>
      <x:c r="F192" t="str">
        <x:v>Direct Mail</x:v>
      </x:c>
      <x:c r="G192" s="11" t="n">
        <x:f>C192*E192</x:f>
        <x:v>160</x:v>
      </x:c>
    </x:row>
    <x:row r="193">
      <x:c r="A193" t="str">
        <x:v>agency marketing</x:v>
      </x:c>
      <x:c r="B193" s="8" t="n">
        <x:v>0</x:v>
      </x:c>
      <x:c r="C193" s="8" t="n">
        <x:v>1</x:v>
      </x:c>
      <x:c r="D193" s="9" t="n">
        <x:v>0</x:v>
      </x:c>
      <x:c r="E193" s="10" t="n">
        <x:v>1</x:v>
      </x:c>
      <x:c r="F193" t="str">
        <x:v>Other</x:v>
      </x:c>
      <x:c r="G193" s="11" t="n">
        <x:f>C193*E193</x:f>
        <x:v>1</x:v>
      </x:c>
    </x:row>
    <x:row r="194">
      <x:c r="A194" t="str">
        <x:v>auto marketing</x:v>
      </x:c>
      <x:c r="B194" s="8" t="n">
        <x:v>0</x:v>
      </x:c>
      <x:c r="C194" s="8" t="n">
        <x:v>1</x:v>
      </x:c>
      <x:c r="D194" s="9" t="n">
        <x:v>0</x:v>
      </x:c>
      <x:c r="E194" s="10" t="n">
        <x:v>1</x:v>
      </x:c>
      <x:c r="F194" t="str">
        <x:v>Other</x:v>
      </x:c>
      <x:c r="G194" s="11" t="n">
        <x:f>C194*E194</x:f>
        <x:v>1</x:v>
      </x:c>
    </x:row>
    <x:row r="195">
      <x:c r="A195" t="str">
        <x:v>automotive retention marketing</x:v>
      </x:c>
      <x:c r="B195" s="8" t="n">
        <x:v>0</x:v>
      </x:c>
      <x:c r="C195" s="8" t="n">
        <x:v>1</x:v>
      </x:c>
      <x:c r="D195" s="9" t="n">
        <x:v>0</x:v>
      </x:c>
      <x:c r="E195" s="10" t="n">
        <x:v>1</x:v>
      </x:c>
      <x:c r="F195" t="str">
        <x:v>Retention / Email</x:v>
      </x:c>
      <x:c r="G195" s="11" t="n">
        <x:f>C195*E195</x:f>
        <x:v>1</x:v>
      </x:c>
    </x:row>
    <x:row r="196">
      <x:c r="A196" t="str">
        <x:v>digital marketing reporting overland park</x:v>
      </x:c>
      <x:c r="B196" s="8" t="n">
        <x:v>0</x:v>
      </x:c>
      <x:c r="C196" s="8" t="n">
        <x:v>1</x:v>
      </x:c>
      <x:c r="D196" s="9" t="n">
        <x:v>0</x:v>
      </x:c>
      <x:c r="E196" s="10" t="n">
        <x:v>1</x:v>
      </x:c>
      <x:c r="F196" t="str">
        <x:v>Digital Marketing</x:v>
      </x:c>
      <x:c r="G196" s="11" t="n">
        <x:f>C196*E196</x:f>
        <x:v>1</x:v>
      </x:c>
    </x:row>
    <x:row r="197">
      <x:c r="A197" t="str">
        <x:v>marketing analytics overland park</x:v>
      </x:c>
      <x:c r="B197" s="8" t="n">
        <x:v>0</x:v>
      </x:c>
      <x:c r="C197" s="8" t="n">
        <x:v>1</x:v>
      </x:c>
      <x:c r="D197" s="9" t="n">
        <x:v>0</x:v>
      </x:c>
      <x:c r="E197" s="10" t="n">
        <x:v>1</x:v>
      </x:c>
      <x:c r="F197" t="str">
        <x:v>Other</x:v>
      </x:c>
      <x:c r="G197" s="11" t="n">
        <x:f>C197*E197</x:f>
        <x:v>1</x:v>
      </x:c>
    </x:row>
    <x:row r="198">
      <x:c r="A198" t="str">
        <x:v>marketing analytics overland park ks</x:v>
      </x:c>
      <x:c r="B198" s="8" t="n">
        <x:v>0</x:v>
      </x:c>
      <x:c r="C198" s="8" t="n">
        <x:v>1</x:v>
      </x:c>
      <x:c r="D198" s="9" t="n">
        <x:v>0</x:v>
      </x:c>
      <x:c r="E198" s="10" t="n">
        <x:v>1</x:v>
      </x:c>
      <x:c r="F198" t="str">
        <x:v>Other</x:v>
      </x:c>
      <x:c r="G198" s="11" t="n">
        <x:f>C198*E198</x:f>
        <x:v>1</x:v>
      </x:c>
    </x:row>
    <x:row r="199">
      <x:c r="A199" t="str">
        <x:v>marketing plan</x:v>
      </x:c>
      <x:c r="B199" s="8" t="n">
        <x:v>0</x:v>
      </x:c>
      <x:c r="C199" s="8" t="n">
        <x:v>1</x:v>
      </x:c>
      <x:c r="D199" s="9" t="n">
        <x:v>0</x:v>
      </x:c>
      <x:c r="E199" s="10" t="n">
        <x:v>1</x:v>
      </x:c>
      <x:c r="F199" t="str">
        <x:v>Marketing Plan / Strategy</x:v>
      </x:c>
      <x:c r="G199" s="11" t="n">
        <x:f>C199*E199</x:f>
        <x:v>1</x:v>
      </x:c>
    </x:row>
    <x:row r="200">
      <x:c r="A200" t="str">
        <x:v>marketing services</x:v>
      </x:c>
      <x:c r="B200" s="8" t="n">
        <x:v>0</x:v>
      </x:c>
      <x:c r="C200" s="8" t="n">
        <x:v>1</x:v>
      </x:c>
      <x:c r="D200" s="9" t="n">
        <x:v>0</x:v>
      </x:c>
      <x:c r="E200" s="10" t="n">
        <x:v>1</x:v>
      </x:c>
      <x:c r="F200" t="str">
        <x:v>Marketing Services</x:v>
      </x:c>
      <x:c r="G200" s="11" t="n">
        <x:f>C200*E200</x:f>
        <x:v>1</x:v>
      </x:c>
    </x:row>
    <x:row r="201">
      <x:c r="A201" t="str">
        <x:v>turn key</x:v>
      </x:c>
      <x:c r="B201" s="8" t="n">
        <x:v>0</x:v>
      </x:c>
      <x:c r="C201" s="8" t="n">
        <x:v>1</x:v>
      </x:c>
      <x:c r="D201" s="9" t="n">
        <x:v>0</x:v>
      </x:c>
      <x:c r="E201" s="10" t="n">
        <x:v>1</x:v>
      </x:c>
      <x:c r="F201" t="str">
        <x:v>Other</x:v>
      </x:c>
      <x:c r="G201" s="11" t="n">
        <x:f>C201*E201</x:f>
        <x:v>1</x:v>
      </x:c>
    </x:row>
    <x:row r="202">
      <x:c r="A202" t="str">
        <x:v>turnkey?</x:v>
      </x:c>
      <x:c r="B202" s="8" t="n">
        <x:v>0</x:v>
      </x:c>
      <x:c r="C202" s="8" t="n">
        <x:v>1</x:v>
      </x:c>
      <x:c r="D202" s="9" t="n">
        <x:v>0</x:v>
      </x:c>
      <x:c r="E202" s="10" t="n">
        <x:v>3</x:v>
      </x:c>
      <x:c r="F202" t="str">
        <x:v>Branded</x:v>
      </x:c>
      <x:c r="G202" s="11" t="n">
        <x:f>C202*E202</x:f>
        <x:v>3</x:v>
      </x:c>
    </x:row>
    <x:row r="203">
      <x:c r="A203" t="str">
        <x:v>auto repair marketing companies near me. my location is usa.</x:v>
      </x:c>
      <x:c r="B203" s="8" t="n">
        <x:v>0</x:v>
      </x:c>
      <x:c r="C203" s="8" t="n">
        <x:v>1</x:v>
      </x:c>
      <x:c r="D203" s="9" t="n">
        <x:v>0</x:v>
      </x:c>
      <x:c r="E203" s="10" t="n">
        <x:v>5</x:v>
      </x:c>
      <x:c r="F203" t="str">
        <x:v>Comparison / Companies</x:v>
      </x:c>
      <x:c r="G203" s="11" t="n">
        <x:f>C203*E203</x:f>
        <x:v>5</x:v>
      </x:c>
    </x:row>
    <x:row r="204">
      <x:c r="A204" t="str">
        <x:v>automotive marketing</x:v>
      </x:c>
      <x:c r="B204" s="8" t="n">
        <x:v>0</x:v>
      </x:c>
      <x:c r="C204" s="8" t="n">
        <x:v>1</x:v>
      </x:c>
      <x:c r="D204" s="9" t="n">
        <x:v>0</x:v>
      </x:c>
      <x:c r="E204" s="10" t="n">
        <x:v>5</x:v>
      </x:c>
      <x:c r="F204" t="str">
        <x:v>Core Marketing</x:v>
      </x:c>
      <x:c r="G204" s="11" t="n">
        <x:f>C204*E204</x:f>
        <x:v>5</x:v>
      </x:c>
    </x:row>
    <x:row r="205">
      <x:c r="A205" t="str">
        <x:v>"fast lane automotive" "google rating"</x:v>
      </x:c>
      <x:c r="B205" s="8" t="n">
        <x:v>0</x:v>
      </x:c>
      <x:c r="C205" s="8" t="n">
        <x:v>1</x:v>
      </x:c>
      <x:c r="D205" s="9" t="n">
        <x:v>0</x:v>
      </x:c>
      <x:c r="E205" s="10" t="n">
        <x:v>6</x:v>
      </x:c>
      <x:c r="F205" t="str">
        <x:v>Other</x:v>
      </x:c>
      <x:c r="G205" s="11" t="n">
        <x:f>C205*E205</x:f>
        <x:v>6</x:v>
      </x:c>
    </x:row>
    <x:row r="206">
      <x:c r="A206" t="str">
        <x:v>turnkey automotive solutions</x:v>
      </x:c>
      <x:c r="B206" s="8" t="n">
        <x:v>0</x:v>
      </x:c>
      <x:c r="C206" s="8" t="n">
        <x:v>1</x:v>
      </x:c>
      <x:c r="D206" s="9" t="n">
        <x:v>0</x:v>
      </x:c>
      <x:c r="E206" s="10" t="n">
        <x:v>7</x:v>
      </x:c>
      <x:c r="F206" t="str">
        <x:v>Branded</x:v>
      </x:c>
      <x:c r="G206" s="11" t="n">
        <x:f>C206*E206</x:f>
        <x:v>7</x:v>
      </x:c>
    </x:row>
    <x:row r="207">
      <x:c r="A207" t="str">
        <x:v>turnkey motorsports</x:v>
      </x:c>
      <x:c r="B207" s="8" t="n">
        <x:v>0</x:v>
      </x:c>
      <x:c r="C207" s="8" t="n">
        <x:v>1</x:v>
      </x:c>
      <x:c r="D207" s="9" t="n">
        <x:v>0</x:v>
      </x:c>
      <x:c r="E207" s="10" t="n">
        <x:v>10</x:v>
      </x:c>
      <x:c r="F207" t="str">
        <x:v>Branded</x:v>
      </x:c>
      <x:c r="G207" s="11" t="n">
        <x:f>C207*E207</x:f>
        <x:v>10</x:v>
      </x:c>
    </x:row>
    <x:row r="208">
      <x:c r="A208" t="str">
        <x:v>mechanic print marketing</x:v>
      </x:c>
      <x:c r="B208" s="8" t="n">
        <x:v>0</x:v>
      </x:c>
      <x:c r="C208" s="8" t="n">
        <x:v>1</x:v>
      </x:c>
      <x:c r="D208" s="9" t="n">
        <x:v>0</x:v>
      </x:c>
      <x:c r="E208" s="10" t="n">
        <x:v>11</x:v>
      </x:c>
      <x:c r="F208" t="str">
        <x:v>Core Marketing</x:v>
      </x:c>
      <x:c r="G208" s="11" t="n">
        <x:f>C208*E208</x:f>
        <x:v>11</x:v>
      </x:c>
    </x:row>
    <x:row r="209">
      <x:c r="A209" t="str">
        <x:v>top marketing consultants for auto protection businesses</x:v>
      </x:c>
      <x:c r="B209" s="8" t="n">
        <x:v>0</x:v>
      </x:c>
      <x:c r="C209" s="8" t="n">
        <x:v>1</x:v>
      </x:c>
      <x:c r="D209" s="9" t="n">
        <x:v>0</x:v>
      </x:c>
      <x:c r="E209" s="10" t="n">
        <x:v>12</x:v>
      </x:c>
      <x:c r="F209" t="str">
        <x:v>Agency / Consultant</x:v>
      </x:c>
      <x:c r="G209" s="11" t="n">
        <x:f>C209*E209</x:f>
        <x:v>12</x:v>
      </x:c>
    </x:row>
    <x:row r="210">
      <x:c r="A210" t="str">
        <x:v>auto repair shop marketing on a budget</x:v>
      </x:c>
      <x:c r="B210" s="8" t="n">
        <x:v>0</x:v>
      </x:c>
      <x:c r="C210" s="8" t="n">
        <x:v>1</x:v>
      </x:c>
      <x:c r="D210" s="9" t="n">
        <x:v>0</x:v>
      </x:c>
      <x:c r="E210" s="10" t="n">
        <x:v>15</x:v>
      </x:c>
      <x:c r="F210" t="str">
        <x:v>Core Marketing</x:v>
      </x:c>
      <x:c r="G210" s="11" t="n">
        <x:f>C210*E210</x:f>
        <x:v>15</x:v>
      </x:c>
    </x:row>
    <x:row r="211">
      <x:c r="A211" t="str">
        <x:v>auto repair social media agency</x:v>
      </x:c>
      <x:c r="B211" s="8" t="n">
        <x:v>0</x:v>
      </x:c>
      <x:c r="C211" s="8" t="n">
        <x:v>1</x:v>
      </x:c>
      <x:c r="D211" s="9" t="n">
        <x:v>0</x:v>
      </x:c>
      <x:c r="E211" s="10" t="n">
        <x:v>18</x:v>
      </x:c>
      <x:c r="F211" t="str">
        <x:v>Social Media</x:v>
      </x:c>
      <x:c r="G211" s="11" t="n">
        <x:f>C211*E211</x:f>
        <x:v>18</x:v>
      </x:c>
    </x:row>
    <x:row r="212">
      <x:c r="A212" t="str">
        <x:v>auto marketing company</x:v>
      </x:c>
      <x:c r="B212" s="8" t="n">
        <x:v>0</x:v>
      </x:c>
      <x:c r="C212" s="8" t="n">
        <x:v>1</x:v>
      </x:c>
      <x:c r="D212" s="9" t="n">
        <x:v>0</x:v>
      </x:c>
      <x:c r="E212" s="10" t="n">
        <x:v>20</x:v>
      </x:c>
      <x:c r="F212" t="str">
        <x:v>Agency / Consultant</x:v>
      </x:c>
      <x:c r="G212" s="11" t="n">
        <x:f>C212*E212</x:f>
        <x:v>20</x:v>
      </x:c>
    </x:row>
    <x:row r="213">
      <x:c r="A213" t="str">
        <x:v>shop marketing</x:v>
      </x:c>
      <x:c r="B213" s="8" t="n">
        <x:v>0</x:v>
      </x:c>
      <x:c r="C213" s="8" t="n">
        <x:v>1</x:v>
      </x:c>
      <x:c r="D213" s="9" t="n">
        <x:v>0</x:v>
      </x:c>
      <x:c r="E213" s="10" t="n">
        <x:v>20</x:v>
      </x:c>
      <x:c r="F213" t="str">
        <x:v>Other</x:v>
      </x:c>
      <x:c r="G213" s="11" t="n">
        <x:f>C213*E213</x:f>
        <x:v>20</x:v>
      </x:c>
    </x:row>
    <x:row r="214">
      <x:c r="A214" t="str">
        <x:v>turnkey promotions</x:v>
      </x:c>
      <x:c r="B214" s="8" t="n">
        <x:v>0</x:v>
      </x:c>
      <x:c r="C214" s="8" t="n">
        <x:v>1</x:v>
      </x:c>
      <x:c r="D214" s="9" t="n">
        <x:v>0</x:v>
      </x:c>
      <x:c r="E214" s="10" t="n">
        <x:v>20</x:v>
      </x:c>
      <x:c r="F214" t="str">
        <x:v>Branded</x:v>
      </x:c>
      <x:c r="G214" s="11" t="n">
        <x:f>C214*E214</x:f>
        <x:v>20</x:v>
      </x:c>
    </x:row>
    <x:row r="215">
      <x:c r="A215" t="str">
        <x:v>marketing agencies near me</x:v>
      </x:c>
      <x:c r="B215" s="8" t="n">
        <x:v>0</x:v>
      </x:c>
      <x:c r="C215" s="8" t="n">
        <x:v>1</x:v>
      </x:c>
      <x:c r="D215" s="9" t="n">
        <x:v>0</x:v>
      </x:c>
      <x:c r="E215" s="10" t="n">
        <x:v>21</x:v>
      </x:c>
      <x:c r="F215" t="str">
        <x:v>Other</x:v>
      </x:c>
      <x:c r="G215" s="11" t="n">
        <x:f>C215*E215</x:f>
        <x:v>21</x:v>
      </x:c>
    </x:row>
    <x:row r="216">
      <x:c r="A216" t="str">
        <x:v>turnkey crm</x:v>
      </x:c>
      <x:c r="B216" s="8" t="n">
        <x:v>0</x:v>
      </x:c>
      <x:c r="C216" s="8" t="n">
        <x:v>1</x:v>
      </x:c>
      <x:c r="D216" s="9" t="n">
        <x:v>0</x:v>
      </x:c>
      <x:c r="E216" s="10" t="n">
        <x:v>21</x:v>
      </x:c>
      <x:c r="F216" t="str">
        <x:v>Branded</x:v>
      </x:c>
      <x:c r="G216" s="11" t="n">
        <x:f>C216*E216</x:f>
        <x:v>21</x:v>
      </x:c>
    </x:row>
    <x:row r="217">
      <x:c r="A217" t="str">
        <x:v>automotive marketing services</x:v>
      </x:c>
      <x:c r="B217" s="8" t="n">
        <x:v>0</x:v>
      </x:c>
      <x:c r="C217" s="8" t="n">
        <x:v>1</x:v>
      </x:c>
      <x:c r="D217" s="9" t="n">
        <x:v>0</x:v>
      </x:c>
      <x:c r="E217" s="10" t="n">
        <x:v>27</x:v>
      </x:c>
      <x:c r="F217" t="str">
        <x:v>Marketing Services</x:v>
      </x:c>
      <x:c r="G217" s="11" t="n">
        <x:f>C217*E217</x:f>
        <x:v>27</x:v>
      </x:c>
    </x:row>
    <x:row r="218">
      <x:c r="A218" t="str">
        <x:v>auto maintenance marketing</x:v>
      </x:c>
      <x:c r="B218" s="8" t="n">
        <x:v>0</x:v>
      </x:c>
      <x:c r="C218" s="8" t="n">
        <x:v>1</x:v>
      </x:c>
      <x:c r="D218" s="9" t="n">
        <x:v>0</x:v>
      </x:c>
      <x:c r="E218" s="10" t="n">
        <x:v>28</x:v>
      </x:c>
      <x:c r="F218" t="str">
        <x:v>Other</x:v>
      </x:c>
      <x:c r="G218" s="11" t="n">
        <x:f>C218*E218</x:f>
        <x:v>28</x:v>
      </x:c>
    </x:row>
    <x:row r="219">
      <x:c r="A219" t="str">
        <x:v>auto repair social media services</x:v>
      </x:c>
      <x:c r="B219" s="8" t="n">
        <x:v>0</x:v>
      </x:c>
      <x:c r="C219" s="8" t="n">
        <x:v>1</x:v>
      </x:c>
      <x:c r="D219" s="9" t="n">
        <x:v>0</x:v>
      </x:c>
      <x:c r="E219" s="10" t="n">
        <x:v>28</x:v>
      </x:c>
      <x:c r="F219" t="str">
        <x:v>Social Media</x:v>
      </x:c>
      <x:c r="G219" s="11" t="n">
        <x:f>C219*E219</x:f>
        <x:v>28</x:v>
      </x:c>
    </x:row>
    <x:row r="220">
      <x:c r="A220" t="str">
        <x:v>mechanic social media management</x:v>
      </x:c>
      <x:c r="B220" s="8" t="n">
        <x:v>0</x:v>
      </x:c>
      <x:c r="C220" s="8" t="n">
        <x:v>1</x:v>
      </x:c>
      <x:c r="D220" s="9" t="n">
        <x:v>0</x:v>
      </x:c>
      <x:c r="E220" s="10" t="n">
        <x:v>28</x:v>
      </x:c>
      <x:c r="F220" t="str">
        <x:v>Social Media</x:v>
      </x:c>
      <x:c r="G220" s="11" t="n">
        <x:f>C220*E220</x:f>
        <x:v>28</x:v>
      </x:c>
    </x:row>
    <x:row r="221">
      <x:c r="A221" t="str">
        <x:v>auto repair social media experts</x:v>
      </x:c>
      <x:c r="B221" s="8" t="n">
        <x:v>0</x:v>
      </x:c>
      <x:c r="C221" s="8" t="n">
        <x:v>1</x:v>
      </x:c>
      <x:c r="D221" s="9" t="n">
        <x:v>0</x:v>
      </x:c>
      <x:c r="E221" s="10" t="n">
        <x:v>29</x:v>
      </x:c>
      <x:c r="F221" t="str">
        <x:v>Social Media</x:v>
      </x:c>
      <x:c r="G221" s="11" t="n">
        <x:f>C221*E221</x:f>
        <x:v>29</x:v>
      </x:c>
    </x:row>
    <x:row r="222">
      <x:c r="A222" t="str">
        <x:v>full-service automotive marketing</x:v>
      </x:c>
      <x:c r="B222" s="8" t="n">
        <x:v>0</x:v>
      </x:c>
      <x:c r="C222" s="8" t="n">
        <x:v>1</x:v>
      </x:c>
      <x:c r="D222" s="9" t="n">
        <x:v>0</x:v>
      </x:c>
      <x:c r="E222" s="10" t="n">
        <x:v>29</x:v>
      </x:c>
      <x:c r="F222" t="str">
        <x:v>Core Marketing</x:v>
      </x:c>
      <x:c r="G222" s="11" t="n">
        <x:f>C222*E222</x:f>
        <x:v>29</x:v>
      </x:c>
    </x:row>
    <x:row r="223">
      <x:c r="A223" t="str">
        <x:v>mechanic marketing</x:v>
      </x:c>
      <x:c r="B223" s="8" t="n">
        <x:v>0</x:v>
      </x:c>
      <x:c r="C223" s="8" t="n">
        <x:v>1</x:v>
      </x:c>
      <x:c r="D223" s="9" t="n">
        <x:v>0</x:v>
      </x:c>
      <x:c r="E223" s="10" t="n">
        <x:v>35</x:v>
      </x:c>
      <x:c r="F223" t="str">
        <x:v>Core Marketing</x:v>
      </x:c>
      <x:c r="G223" s="11" t="n">
        <x:f>C223*E223</x:f>
        <x:v>35</x:v>
      </x:c>
    </x:row>
    <x:row r="224">
      <x:c r="A224" t="str">
        <x:v>digital marketing consultant for car shops</x:v>
      </x:c>
      <x:c r="B224" s="8" t="n">
        <x:v>0</x:v>
      </x:c>
      <x:c r="C224" s="8" t="n">
        <x:v>1</x:v>
      </x:c>
      <x:c r="D224" s="9" t="n">
        <x:v>0</x:v>
      </x:c>
      <x:c r="E224" s="10" t="n">
        <x:v>36</x:v>
      </x:c>
      <x:c r="F224" t="str">
        <x:v>Agency / Consultant</x:v>
      </x:c>
      <x:c r="G224" s="11" t="n">
        <x:f>C224*E224</x:f>
        <x:v>36</x:v>
      </x:c>
    </x:row>
    <x:row r="225">
      <x:c r="A225" t="str">
        <x:v>automotive repair marketing strategies</x:v>
      </x:c>
      <x:c r="B225" s="8" t="n">
        <x:v>0</x:v>
      </x:c>
      <x:c r="C225" s="8" t="n">
        <x:v>1</x:v>
      </x:c>
      <x:c r="D225" s="9" t="n">
        <x:v>0</x:v>
      </x:c>
      <x:c r="E225" s="10" t="n">
        <x:v>37</x:v>
      </x:c>
      <x:c r="F225" t="str">
        <x:v>Marketing Plan / Strategy</x:v>
      </x:c>
      <x:c r="G225" s="11" t="n">
        <x:f>C225*E225</x:f>
        <x:v>37</x:v>
      </x:c>
    </x:row>
    <x:row r="226">
      <x:c r="A226" t="str">
        <x:v>auto marketing agency near me</x:v>
      </x:c>
      <x:c r="B226" s="8" t="n">
        <x:v>0</x:v>
      </x:c>
      <x:c r="C226" s="8" t="n">
        <x:v>1</x:v>
      </x:c>
      <x:c r="D226" s="9" t="n">
        <x:v>0</x:v>
      </x:c>
      <x:c r="E226" s="10" t="n">
        <x:v>38</x:v>
      </x:c>
      <x:c r="F226" t="str">
        <x:v>Agency / Consultant</x:v>
      </x:c>
      <x:c r="G226" s="11" t="n">
        <x:f>C226*E226</x:f>
        <x:v>38</x:v>
      </x:c>
    </x:row>
    <x:row r="227">
      <x:c r="A227" t="str">
        <x:v>automotive marketing specialists</x:v>
      </x:c>
      <x:c r="B227" s="8" t="n">
        <x:v>0</x:v>
      </x:c>
      <x:c r="C227" s="8" t="n">
        <x:v>1</x:v>
      </x:c>
      <x:c r="D227" s="9" t="n">
        <x:v>0</x:v>
      </x:c>
      <x:c r="E227" s="10" t="n">
        <x:v>39</x:v>
      </x:c>
      <x:c r="F227" t="str">
        <x:v>Core Marketing</x:v>
      </x:c>
      <x:c r="G227" s="11" t="n">
        <x:f>C227*E227</x:f>
        <x:v>39</x:v>
      </x:c>
    </x:row>
    <x:row r="228">
      <x:c r="A228" t="str">
        <x:v>turnkey vehicle project supplier</x:v>
      </x:c>
      <x:c r="B228" s="8" t="n">
        <x:v>0</x:v>
      </x:c>
      <x:c r="C228" s="8" t="n">
        <x:v>1</x:v>
      </x:c>
      <x:c r="D228" s="9" t="n">
        <x:v>0</x:v>
      </x:c>
      <x:c r="E228" s="10" t="n">
        <x:v>40</x:v>
      </x:c>
      <x:c r="F228" t="str">
        <x:v>Branded</x:v>
      </x:c>
      <x:c r="G228" s="11" t="n">
        <x:f>C228*E228</x:f>
        <x:v>40</x:v>
      </x:c>
    </x:row>
    <x:row r="229">
      <x:c r="A229" t="str">
        <x:v>advertising agency</x:v>
      </x:c>
      <x:c r="B229" s="8" t="n">
        <x:v>0</x:v>
      </x:c>
      <x:c r="C229" s="8" t="n">
        <x:v>1</x:v>
      </x:c>
      <x:c r="D229" s="9" t="n">
        <x:v>0</x:v>
      </x:c>
      <x:c r="E229" s="10" t="n">
        <x:v>41</x:v>
      </x:c>
      <x:c r="F229" t="str">
        <x:v>Other</x:v>
      </x:c>
      <x:c r="G229" s="11" t="n">
        <x:f>C229*E229</x:f>
        <x:v>41</x:v>
      </x:c>
    </x:row>
    <x:row r="230">
      <x:c r="A230" t="str">
        <x:v>auto service mailings</x:v>
      </x:c>
      <x:c r="B230" s="8" t="n">
        <x:v>0</x:v>
      </x:c>
      <x:c r="C230" s="8" t="n">
        <x:v>1</x:v>
      </x:c>
      <x:c r="D230" s="9" t="n">
        <x:v>0</x:v>
      </x:c>
      <x:c r="E230" s="10" t="n">
        <x:v>41</x:v>
      </x:c>
      <x:c r="F230" t="str">
        <x:v>Other</x:v>
      </x:c>
      <x:c r="G230" s="11" t="n">
        <x:f>C230*E230</x:f>
        <x:v>41</x:v>
      </x:c>
    </x:row>
    <x:row r="231">
      <x:c r="A231" t="str">
        <x:v>marketing reporting overland park ks</x:v>
      </x:c>
      <x:c r="B231" s="8" t="n">
        <x:v>0</x:v>
      </x:c>
      <x:c r="C231" s="8" t="n">
        <x:v>1</x:v>
      </x:c>
      <x:c r="D231" s="9" t="n">
        <x:v>0</x:v>
      </x:c>
      <x:c r="E231" s="10" t="n">
        <x:v>43</x:v>
      </x:c>
      <x:c r="F231" t="str">
        <x:v>Other</x:v>
      </x:c>
      <x:c r="G231" s="11" t="n">
        <x:f>C231*E231</x:f>
        <x:v>43</x:v>
      </x:c>
    </x:row>
    <x:row r="232">
      <x:c r="A232" t="str">
        <x:v>crm agency overland park</x:v>
      </x:c>
      <x:c r="B232" s="8" t="n">
        <x:v>0</x:v>
      </x:c>
      <x:c r="C232" s="8" t="n">
        <x:v>1</x:v>
      </x:c>
      <x:c r="D232" s="9" t="n">
        <x:v>0</x:v>
      </x:c>
      <x:c r="E232" s="10" t="n">
        <x:v>46</x:v>
      </x:c>
      <x:c r="F232" t="str">
        <x:v>Other</x:v>
      </x:c>
      <x:c r="G232" s="11" t="n">
        <x:f>C232*E232</x:f>
        <x:v>46</x:v>
      </x:c>
    </x:row>
    <x:row r="233">
      <x:c r="A233" t="str">
        <x:v>fractional cmo for auto repair shop</x:v>
      </x:c>
      <x:c r="B233" s="8" t="n">
        <x:v>0</x:v>
      </x:c>
      <x:c r="C233" s="8" t="n">
        <x:v>1</x:v>
      </x:c>
      <x:c r="D233" s="9" t="n">
        <x:v>0</x:v>
      </x:c>
      <x:c r="E233" s="10" t="n">
        <x:v>47</x:v>
      </x:c>
      <x:c r="F233" t="str">
        <x:v>Outsourced Marketing Director</x:v>
      </x:c>
      <x:c r="G233" s="11" t="n">
        <x:f>C233*E233</x:f>
        <x:v>47</x:v>
      </x:c>
    </x:row>
    <x:row r="234">
      <x:c r="A234" t="str">
        <x:v>auto repair shop facebook marketing</x:v>
      </x:c>
      <x:c r="B234" s="8" t="n">
        <x:v>0</x:v>
      </x:c>
      <x:c r="C234" s="8" t="n">
        <x:v>1</x:v>
      </x:c>
      <x:c r="D234" s="9" t="n">
        <x:v>0</x:v>
      </x:c>
      <x:c r="E234" s="10" t="n">
        <x:v>48</x:v>
      </x:c>
      <x:c r="F234" t="str">
        <x:v>Social Media</x:v>
      </x:c>
      <x:c r="G234" s="11" t="n">
        <x:f>C234*E234</x:f>
        <x:v>48</x:v>
      </x:c>
    </x:row>
    <x:row r="235">
      <x:c r="A235" t="str">
        <x:v>automotive shop marketing</x:v>
      </x:c>
      <x:c r="B235" s="8" t="n">
        <x:v>0</x:v>
      </x:c>
      <x:c r="C235" s="8" t="n">
        <x:v>1</x:v>
      </x:c>
      <x:c r="D235" s="9" t="n">
        <x:v>0</x:v>
      </x:c>
      <x:c r="E235" s="10" t="n">
        <x:v>48</x:v>
      </x:c>
      <x:c r="F235" t="str">
        <x:v>Core Marketing</x:v>
      </x:c>
      <x:c r="G235" s="11" t="n">
        <x:f>C235*E235</x:f>
        <x:v>48</x:v>
      </x:c>
    </x:row>
    <x:row r="236">
      <x:c r="A236" t="str">
        <x:v>marketing for auto repair</x:v>
      </x:c>
      <x:c r="B236" s="8" t="n">
        <x:v>0</x:v>
      </x:c>
      <x:c r="C236" s="8" t="n">
        <x:v>1</x:v>
      </x:c>
      <x:c r="D236" s="9" t="n">
        <x:v>0</x:v>
      </x:c>
      <x:c r="E236" s="10" t="n">
        <x:v>50</x:v>
      </x:c>
      <x:c r="F236" t="str">
        <x:v>Other</x:v>
      </x:c>
      <x:c r="G236" s="11" t="n">
        <x:f>C236*E236</x:f>
        <x:v>50</x:v>
      </x:c>
    </x:row>
    <x:row r="237">
      <x:c r="A237" t="str">
        <x:v>auto repair shop mailing lists</x:v>
      </x:c>
      <x:c r="B237" s="8" t="n">
        <x:v>0</x:v>
      </x:c>
      <x:c r="C237" s="8" t="n">
        <x:v>1</x:v>
      </x:c>
      <x:c r="D237" s="9" t="n">
        <x:v>0</x:v>
      </x:c>
      <x:c r="E237" s="10" t="n">
        <x:v>51</x:v>
      </x:c>
      <x:c r="F237" t="str">
        <x:v>Other</x:v>
      </x:c>
      <x:c r="G237" s="11" t="n">
        <x:f>C237*E237</x:f>
        <x:v>51</x:v>
      </x:c>
    </x:row>
    <x:row r="238">
      <x:c r="A238" t="str">
        <x:v>auto broker marketing agency for small business</x:v>
      </x:c>
      <x:c r="B238" s="8" t="n">
        <x:v>0</x:v>
      </x:c>
      <x:c r="C238" s="8" t="n">
        <x:v>1</x:v>
      </x:c>
      <x:c r="D238" s="9" t="n">
        <x:v>0</x:v>
      </x:c>
      <x:c r="E238" s="10" t="n">
        <x:v>57</x:v>
      </x:c>
      <x:c r="F238" t="str">
        <x:v>Agency / Consultant</x:v>
      </x:c>
      <x:c r="G238" s="11" t="n">
        <x:f>C238*E238</x:f>
        <x:v>57</x:v>
      </x:c>
    </x:row>
    <x:row r="239">
      <x:c r="A239" t="str">
        <x:v>auto direct mail</x:v>
      </x:c>
      <x:c r="B239" s="8" t="n">
        <x:v>0</x:v>
      </x:c>
      <x:c r="C239" s="8" t="n">
        <x:v>1</x:v>
      </x:c>
      <x:c r="D239" s="9" t="n">
        <x:v>0</x:v>
      </x:c>
      <x:c r="E239" s="10" t="n">
        <x:v>57</x:v>
      </x:c>
      <x:c r="F239" t="str">
        <x:v>Direct Mail</x:v>
      </x:c>
      <x:c r="G239" s="11" t="n">
        <x:f>C239*E239</x:f>
        <x:v>57</x:v>
      </x:c>
    </x:row>
    <x:row r="240">
      <x:c r="A240" t="str">
        <x:v>marketing for auto repair shop</x:v>
      </x:c>
      <x:c r="B240" s="8" t="n">
        <x:v>0</x:v>
      </x:c>
      <x:c r="C240" s="8" t="n">
        <x:v>1</x:v>
      </x:c>
      <x:c r="D240" s="9" t="n">
        <x:v>0</x:v>
      </x:c>
      <x:c r="E240" s="10" t="n">
        <x:v>57</x:v>
      </x:c>
      <x:c r="F240" t="str">
        <x:v>Other</x:v>
      </x:c>
      <x:c r="G240" s="11" t="n">
        <x:f>C240*E240</x:f>
        <x:v>57</x:v>
      </x:c>
    </x:row>
    <x:row r="241">
      <x:c r="A241" t="str">
        <x:v>car repair shop marketing</x:v>
      </x:c>
      <x:c r="B241" s="8" t="n">
        <x:v>0</x:v>
      </x:c>
      <x:c r="C241" s="8" t="n">
        <x:v>1</x:v>
      </x:c>
      <x:c r="D241" s="9" t="n">
        <x:v>0</x:v>
      </x:c>
      <x:c r="E241" s="10" t="n">
        <x:v>58</x:v>
      </x:c>
      <x:c r="F241" t="str">
        <x:v>Other</x:v>
      </x:c>
      <x:c r="G241" s="11" t="n">
        <x:f>C241*E241</x:f>
        <x:v>58</x:v>
      </x:c>
    </x:row>
    <x:row r="242">
      <x:c r="A242" t="str">
        <x:v>local internet marketing for auto parts</x:v>
      </x:c>
      <x:c r="B242" s="8" t="n">
        <x:v>0</x:v>
      </x:c>
      <x:c r="C242" s="8" t="n">
        <x:v>1</x:v>
      </x:c>
      <x:c r="D242" s="9" t="n">
        <x:v>0</x:v>
      </x:c>
      <x:c r="E242" s="10" t="n">
        <x:v>58</x:v>
      </x:c>
      <x:c r="F242" t="str">
        <x:v>Digital Marketing</x:v>
      </x:c>
      <x:c r="G242" s="11" t="n">
        <x:f>C242*E242</x:f>
        <x:v>58</x:v>
      </x:c>
    </x:row>
    <x:row r="243">
      <x:c r="A243" t="str">
        <x:v>how to get more customers in my auto repair shop</x:v>
      </x:c>
      <x:c r="B243" s="8" t="n">
        <x:v>0</x:v>
      </x:c>
      <x:c r="C243" s="8" t="n">
        <x:v>1</x:v>
      </x:c>
      <x:c r="D243" s="9" t="n">
        <x:v>0</x:v>
      </x:c>
      <x:c r="E243" s="10" t="n">
        <x:v>59</x:v>
      </x:c>
      <x:c r="F243" t="str">
        <x:v>Lead Generation / Growth</x:v>
      </x:c>
      <x:c r="G243" s="11" t="n">
        <x:f>C243*E243</x:f>
        <x:v>59</x:v>
      </x:c>
    </x:row>
    <x:row r="244">
      <x:c r="A244" t="str">
        <x:v>digital marketing for auto shops</x:v>
      </x:c>
      <x:c r="B244" s="8" t="n">
        <x:v>0</x:v>
      </x:c>
      <x:c r="C244" s="8" t="n">
        <x:v>1</x:v>
      </x:c>
      <x:c r="D244" s="9" t="n">
        <x:v>0</x:v>
      </x:c>
      <x:c r="E244" s="10" t="n">
        <x:v>61</x:v>
      </x:c>
      <x:c r="F244" t="str">
        <x:v>Digital Marketing</x:v>
      </x:c>
      <x:c r="G244" s="11" t="n">
        <x:f>C244*E244</x:f>
        <x:v>61</x:v>
      </x:c>
    </x:row>
    <x:row r="245">
      <x:c r="A245" t="str">
        <x:v>direct mail automotive</x:v>
      </x:c>
      <x:c r="B245" s="8" t="n">
        <x:v>0</x:v>
      </x:c>
      <x:c r="C245" s="8" t="n">
        <x:v>1</x:v>
      </x:c>
      <x:c r="D245" s="9" t="n">
        <x:v>0</x:v>
      </x:c>
      <x:c r="E245" s="10" t="n">
        <x:v>63</x:v>
      </x:c>
      <x:c r="F245" t="str">
        <x:v>Direct Mail</x:v>
      </x:c>
      <x:c r="G245" s="11" t="n">
        <x:f>C245*E245</x:f>
        <x:v>63</x:v>
      </x:c>
    </x:row>
    <x:row r="246">
      <x:c r="A246" t="str">
        <x:v>direct mail for automotive</x:v>
      </x:c>
      <x:c r="B246" s="8" t="n">
        <x:v>0</x:v>
      </x:c>
      <x:c r="C246" s="8" t="n">
        <x:v>1</x:v>
      </x:c>
      <x:c r="D246" s="9" t="n">
        <x:v>0</x:v>
      </x:c>
      <x:c r="E246" s="10" t="n">
        <x:v>63</x:v>
      </x:c>
      <x:c r="F246" t="str">
        <x:v>Direct Mail</x:v>
      </x:c>
      <x:c r="G246" s="11" t="n">
        <x:f>C246*E246</x:f>
        <x:v>63</x:v>
      </x:c>
    </x:row>
    <x:row r="247">
      <x:c r="A247" t="str">
        <x:v>mechanic shop lead generation</x:v>
      </x:c>
      <x:c r="B247" s="8" t="n">
        <x:v>0</x:v>
      </x:c>
      <x:c r="C247" s="8" t="n">
        <x:v>1</x:v>
      </x:c>
      <x:c r="D247" s="9" t="n">
        <x:v>0</x:v>
      </x:c>
      <x:c r="E247" s="10" t="n">
        <x:v>64</x:v>
      </x:c>
      <x:c r="F247" t="str">
        <x:v>Lead Generation / Growth</x:v>
      </x:c>
      <x:c r="G247" s="11" t="n">
        <x:f>C247*E247</x:f>
        <x:v>64</x:v>
      </x:c>
    </x:row>
    <x:row r="248">
      <x:c r="A248" t="str">
        <x:v>overland park crm agency</x:v>
      </x:c>
      <x:c r="B248" s="8" t="n">
        <x:v>0</x:v>
      </x:c>
      <x:c r="C248" s="8" t="n">
        <x:v>1</x:v>
      </x:c>
      <x:c r="D248" s="9" t="n">
        <x:v>0</x:v>
      </x:c>
      <x:c r="E248" s="10" t="n">
        <x:v>64</x:v>
      </x:c>
      <x:c r="F248" t="str">
        <x:v>Other</x:v>
      </x:c>
      <x:c r="G248" s="11" t="n">
        <x:f>C248*E248</x:f>
        <x:v>64</x:v>
      </x:c>
    </x:row>
    <x:row r="249">
      <x:c r="A249" t="str">
        <x:v>automotive paid search agency fort myers</x:v>
      </x:c>
      <x:c r="B249" s="8" t="n">
        <x:v>0</x:v>
      </x:c>
      <x:c r="C249" s="8" t="n">
        <x:v>1</x:v>
      </x:c>
      <x:c r="D249" s="9" t="n">
        <x:v>0</x:v>
      </x:c>
      <x:c r="E249" s="10" t="n">
        <x:v>66</x:v>
      </x:c>
      <x:c r="F249" t="str">
        <x:v>Other</x:v>
      </x:c>
      <x:c r="G249" s="11" t="n">
        <x:f>C249*E249</x:f>
        <x:v>66</x:v>
      </x:c>
    </x:row>
    <x:row r="250">
      <x:c r="A250" t="str">
        <x:v>automotive marketing brevard county</x:v>
      </x:c>
      <x:c r="B250" s="8" t="n">
        <x:v>0</x:v>
      </x:c>
      <x:c r="C250" s="8" t="n">
        <x:v>1</x:v>
      </x:c>
      <x:c r="D250" s="9" t="n">
        <x:v>0</x:v>
      </x:c>
      <x:c r="E250" s="10" t="n">
        <x:v>69</x:v>
      </x:c>
      <x:c r="F250" t="str">
        <x:v>Core Marketing</x:v>
      </x:c>
      <x:c r="G250" s="11" t="n">
        <x:f>C250*E250</x:f>
        <x:v>69</x:v>
      </x:c>
    </x:row>
    <x:row r="251">
      <x:c r="A251" t="str">
        <x:v>auto shop email marketing</x:v>
      </x:c>
      <x:c r="B251" s="8" t="n">
        <x:v>0</x:v>
      </x:c>
      <x:c r="C251" s="8" t="n">
        <x:v>1</x:v>
      </x:c>
      <x:c r="D251" s="9" t="n">
        <x:v>0</x:v>
      </x:c>
      <x:c r="E251" s="10" t="n">
        <x:v>72</x:v>
      </x:c>
      <x:c r="F251" t="str">
        <x:v>Retention / Email</x:v>
      </x:c>
      <x:c r="G251" s="11" t="n">
        <x:f>C251*E251</x:f>
        <x:v>72</x:v>
      </x:c>
    </x:row>
    <x:row r="252">
      <x:c r="A252" t="str">
        <x:v>automotive direct mail advertising</x:v>
      </x:c>
      <x:c r="B252" s="8" t="n">
        <x:v>0</x:v>
      </x:c>
      <x:c r="C252" s="8" t="n">
        <x:v>1</x:v>
      </x:c>
      <x:c r="D252" s="9" t="n">
        <x:v>0</x:v>
      </x:c>
      <x:c r="E252" s="10" t="n">
        <x:v>72</x:v>
      </x:c>
      <x:c r="F252" t="str">
        <x:v>Direct Mail</x:v>
      </x:c>
      <x:c r="G252" s="11" t="n">
        <x:f>C252*E252</x:f>
        <x:v>72</x:v>
      </x:c>
    </x:row>
    <x:row r="253">
      <x:c r="A253" t="str">
        <x:v>automotive mailing services</x:v>
      </x:c>
      <x:c r="B253" s="8" t="n">
        <x:v>0</x:v>
      </x:c>
      <x:c r="C253" s="8" t="n">
        <x:v>1</x:v>
      </x:c>
      <x:c r="D253" s="9" t="n">
        <x:v>0</x:v>
      </x:c>
      <x:c r="E253" s="10" t="n">
        <x:v>72</x:v>
      </x:c>
      <x:c r="F253" t="str">
        <x:v>Other</x:v>
      </x:c>
      <x:c r="G253" s="11" t="n">
        <x:f>C253*E253</x:f>
        <x:v>72</x:v>
      </x:c>
    </x:row>
    <x:row r="254">
      <x:c r="A254" t="str">
        <x:v>direct mail for automotive lenders</x:v>
      </x:c>
      <x:c r="B254" s="8" t="n">
        <x:v>0</x:v>
      </x:c>
      <x:c r="C254" s="8" t="n">
        <x:v>1</x:v>
      </x:c>
      <x:c r="D254" s="9" t="n">
        <x:v>0</x:v>
      </x:c>
      <x:c r="E254" s="10" t="n">
        <x:v>75</x:v>
      </x:c>
      <x:c r="F254" t="str">
        <x:v>Direct Mail</x:v>
      </x:c>
      <x:c r="G254" s="11" t="n">
        <x:f>C254*E254</x:f>
        <x:v>75</x:v>
      </x:c>
    </x:row>
    <x:row r="255">
      <x:c r="A255" t="str">
        <x:v>auto shop lead generation</x:v>
      </x:c>
      <x:c r="B255" s="8" t="n">
        <x:v>0</x:v>
      </x:c>
      <x:c r="C255" s="8" t="n">
        <x:v>1</x:v>
      </x:c>
      <x:c r="D255" s="9" t="n">
        <x:v>0</x:v>
      </x:c>
      <x:c r="E255" s="10" t="n">
        <x:v>76</x:v>
      </x:c>
      <x:c r="F255" t="str">
        <x:v>Lead Generation / Growth</x:v>
      </x:c>
      <x:c r="G255" s="11" t="n">
        <x:f>C255*E255</x:f>
        <x:v>76</x:v>
      </x:c>
    </x:row>
    <x:row r="256">
      <x:c r="A256" t="str">
        <x:v>direct mail advertising automotive</x:v>
      </x:c>
      <x:c r="B256" s="8" t="n">
        <x:v>0</x:v>
      </x:c>
      <x:c r="C256" s="8" t="n">
        <x:v>1</x:v>
      </x:c>
      <x:c r="D256" s="9" t="n">
        <x:v>0</x:v>
      </x:c>
      <x:c r="E256" s="10" t="n">
        <x:v>76</x:v>
      </x:c>
      <x:c r="F256" t="str">
        <x:v>Direct Mail</x:v>
      </x:c>
      <x:c r="G256" s="11" t="n">
        <x:f>C256*E256</x:f>
        <x:v>76</x:v>
      </x:c>
    </x:row>
    <x:row r="257">
      <x:c r="A257" t="str">
        <x:v>who are the best marketing companies for your auto repair shop?</x:v>
      </x:c>
      <x:c r="B257" s="8" t="n">
        <x:v>0</x:v>
      </x:c>
      <x:c r="C257" s="8" t="n">
        <x:v>1</x:v>
      </x:c>
      <x:c r="D257" s="9" t="n">
        <x:v>0</x:v>
      </x:c>
      <x:c r="E257" s="10" t="n">
        <x:v>76</x:v>
      </x:c>
      <x:c r="F257" t="str">
        <x:v>Comparison / Companies</x:v>
      </x:c>
      <x:c r="G257" s="11" t="n">
        <x:f>C257*E257</x:f>
        <x:v>76</x:v>
      </x:c>
    </x:row>
    <x:row r="258">
      <x:c r="A258" t="str">
        <x:v>automotive direct mail car service</x:v>
      </x:c>
      <x:c r="B258" s="8" t="n">
        <x:v>0</x:v>
      </x:c>
      <x:c r="C258" s="8" t="n">
        <x:v>1</x:v>
      </x:c>
      <x:c r="D258" s="9" t="n">
        <x:v>0</x:v>
      </x:c>
      <x:c r="E258" s="10" t="n">
        <x:v>77</x:v>
      </x:c>
      <x:c r="F258" t="str">
        <x:v>Direct Mail</x:v>
      </x:c>
      <x:c r="G258" s="11" t="n">
        <x:f>C258*E258</x:f>
        <x:v>77</x:v>
      </x:c>
    </x:row>
    <x:row r="259">
      <x:c r="A259" t="str">
        <x:v>online marketing for auto repair</x:v>
      </x:c>
      <x:c r="B259" s="8" t="n">
        <x:v>0</x:v>
      </x:c>
      <x:c r="C259" s="8" t="n">
        <x:v>1</x:v>
      </x:c>
      <x:c r="D259" s="9" t="n">
        <x:v>0</x:v>
      </x:c>
      <x:c r="E259" s="10" t="n">
        <x:v>77</x:v>
      </x:c>
      <x:c r="F259" t="str">
        <x:v>Other</x:v>
      </x:c>
      <x:c r="G259" s="11" t="n">
        <x:f>C259*E259</x:f>
        <x:v>77</x:v>
      </x:c>
    </x:row>
    <x:row r="260">
      <x:c r="A260" t="str">
        <x:v>automotive direct mailers</x:v>
      </x:c>
      <x:c r="B260" s="8" t="n">
        <x:v>0</x:v>
      </x:c>
      <x:c r="C260" s="8" t="n">
        <x:v>1</x:v>
      </x:c>
      <x:c r="D260" s="9" t="n">
        <x:v>0</x:v>
      </x:c>
      <x:c r="E260" s="10" t="n">
        <x:v>79</x:v>
      </x:c>
      <x:c r="F260" t="str">
        <x:v>Direct Mail</x:v>
      </x:c>
      <x:c r="G260" s="11" t="n">
        <x:f>C260*E260</x:f>
        <x:v>79</x:v>
      </x:c>
    </x:row>
    <x:row r="261">
      <x:c r="A261" t="str">
        <x:v>automotive direct mail companies</x:v>
      </x:c>
      <x:c r="B261" s="8" t="n">
        <x:v>0</x:v>
      </x:c>
      <x:c r="C261" s="8" t="n">
        <x:v>1</x:v>
      </x:c>
      <x:c r="D261" s="9" t="n">
        <x:v>0</x:v>
      </x:c>
      <x:c r="E261" s="10" t="n">
        <x:v>82</x:v>
      </x:c>
      <x:c r="F261" t="str">
        <x:v>Direct Mail</x:v>
      </x:c>
      <x:c r="G261" s="11" t="n">
        <x:f>C261*E261</x:f>
        <x:v>82</x:v>
      </x:c>
    </x:row>
    <x:row r="262">
      <x:c r="A262" t="str">
        <x:v>automotive direct mail marketing companies</x:v>
      </x:c>
      <x:c r="B262" s="8" t="n">
        <x:v>0</x:v>
      </x:c>
      <x:c r="C262" s="8" t="n">
        <x:v>1</x:v>
      </x:c>
      <x:c r="D262" s="9" t="n">
        <x:v>0</x:v>
      </x:c>
      <x:c r="E262" s="10" t="n">
        <x:v>82</x:v>
      </x:c>
      <x:c r="F262" t="str">
        <x:v>Comparison / Companies</x:v>
      </x:c>
      <x:c r="G262" s="11" t="n">
        <x:f>C262*E262</x:f>
        <x:v>82</x:v>
      </x:c>
    </x:row>
    <x:row r="263">
      <x:c r="A263" t="str">
        <x:v>how to use video in your auto repair shop marketing</x:v>
      </x:c>
      <x:c r="B263" s="8" t="n">
        <x:v>0</x:v>
      </x:c>
      <x:c r="C263" s="8" t="n">
        <x:v>1</x:v>
      </x:c>
      <x:c r="D263" s="9" t="n">
        <x:v>0</x:v>
      </x:c>
      <x:c r="E263" s="10" t="n">
        <x:v>83</x:v>
      </x:c>
      <x:c r="F263" t="str">
        <x:v>Core Marketing</x:v>
      </x:c>
      <x:c r="G263" s="11" t="n">
        <x:f>C263*E263</x:f>
        <x:v>83</x:v>
      </x:c>
    </x:row>
    <x:row r="264">
      <x:c r="A264" t="str">
        <x:v>lead generation for auto repair shops</x:v>
      </x:c>
      <x:c r="B264" s="8" t="n">
        <x:v>0</x:v>
      </x:c>
      <x:c r="C264" s="8" t="n">
        <x:v>1</x:v>
      </x:c>
      <x:c r="D264" s="9" t="n">
        <x:v>0</x:v>
      </x:c>
      <x:c r="E264" s="10" t="n">
        <x:v>84</x:v>
      </x:c>
      <x:c r="F264" t="str">
        <x:v>Lead Generation / Growth</x:v>
      </x:c>
      <x:c r="G264" s="11" t="n">
        <x:f>C264*E264</x:f>
        <x:v>84</x:v>
      </x:c>
    </x:row>
    <x:row r="265">
      <x:c r="A265" t="str">
        <x:v>how to market collision repair</x:v>
      </x:c>
      <x:c r="B265" s="8" t="n">
        <x:v>0</x:v>
      </x:c>
      <x:c r="C265" s="8" t="n">
        <x:v>1</x:v>
      </x:c>
      <x:c r="D265" s="9" t="n">
        <x:v>0</x:v>
      </x:c>
      <x:c r="E265" s="10" t="n">
        <x:v>85</x:v>
      </x:c>
      <x:c r="F265" t="str">
        <x:v>Marketing Plan / Strategy</x:v>
      </x:c>
      <x:c r="G265" s="11" t="n">
        <x:f>C265*E265</x:f>
        <x:v>85</x:v>
      </x:c>
    </x:row>
    <x:row r="266">
      <x:c r="A266" t="str">
        <x:v>autoshopsolutions.com</x:v>
      </x:c>
      <x:c r="B266" s="8" t="n">
        <x:v>0</x:v>
      </x:c>
      <x:c r="C266" s="8" t="n">
        <x:v>1</x:v>
      </x:c>
      <x:c r="D266" s="9" t="n">
        <x:v>0</x:v>
      </x:c>
      <x:c r="E266" s="10" t="n">
        <x:v>92</x:v>
      </x:c>
      <x:c r="F266" t="str">
        <x:v>Other</x:v>
      </x:c>
      <x:c r="G266" s="11" t="n">
        <x:f>C266*E266</x:f>
        <x:v>92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b0b4d2ddd5cd4f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8" customHeight="1">
      <x:c r="A1" s="3" t="str">
        <x:v>GSC Pages — Last 28 Days</x:v>
      </x:c>
      <x:c r="B1" s="3" t="str">
        <x:v>GSC Pages — Last 28 Days</x:v>
      </x:c>
      <x:c r="C1" s="3" t="str">
        <x:v>GSC Pages — Last 28 Days</x:v>
      </x:c>
      <x:c r="D1" s="3" t="str">
        <x:v>GSC Pages — Last 28 Days</x:v>
      </x:c>
      <x:c r="E1" s="3" t="str">
        <x:v>GSC Pages — Last 28 Days</x:v>
      </x:c>
    </x:row>
    <x:row r="2" ht="28" customHeight="1">
      <x:c r="A2" s="3" t="str">
        <x:v>GSC Pages — Last 28 Days</x:v>
      </x:c>
      <x:c r="B2" s="3" t="str">
        <x:v>GSC Pages — Last 28 Days</x:v>
      </x:c>
      <x:c r="C2" s="3" t="str">
        <x:v>GSC Pages — Last 28 Days</x:v>
      </x:c>
      <x:c r="D2" s="3" t="str">
        <x:v>GSC Pages — Last 28 Days</x:v>
      </x:c>
      <x:c r="E2" s="3" t="str">
        <x:v>GSC Pages — Last 28 Days</x:v>
      </x:c>
    </x:row>
    <x:row r="3" ht="28" customHeight="1">
      <x:c r="A3" s="7" t="str">
        <x:v>Untouched Google Search Console page export. URL variants and legacy URLs are retained so migration effects remain visible.</x:v>
      </x:c>
      <x:c r="B3" s="7" t="str">
        <x:v>Untouched Google Search Console page export. URL variants and legacy URLs are retained so migration effects remain visible.</x:v>
      </x:c>
      <x:c r="C3" s="7" t="str">
        <x:v>Untouched Google Search Console page export. URL variants and legacy URLs are retained so migration effects remain visible.</x:v>
      </x:c>
      <x:c r="D3" s="7" t="str">
        <x:v>Untouched Google Search Console page export. URL variants and legacy URLs are retained so migration effects remain visible.</x:v>
      </x:c>
      <x:c r="E3" s="7" t="str">
        <x:v>Untouched Google Search Console page export. URL variants and legacy URLs are retained so migration effects remain visible.</x:v>
      </x:c>
    </x:row>
    <x:row r="5">
      <x:c r="A5" t="str">
        <x:v>Top pages</x:v>
      </x:c>
      <x:c r="B5" t="str">
        <x:v>Clicks</x:v>
      </x:c>
      <x:c r="C5" t="str">
        <x:v>Impressions</x:v>
      </x:c>
      <x:c r="D5" t="str">
        <x:v>CTR</x:v>
      </x:c>
      <x:c r="E5" t="str">
        <x:v>Position</x:v>
      </x:c>
    </x:row>
    <x:row r="6">
      <x:c r="A6" t="str">
        <x:v>https://www.turnkeyautomarketing.com/?utm_source=gbp&amp;utm_medium=organic&amp;utm_campaign=local</x:v>
      </x:c>
      <x:c r="B6" s="8" t="n">
        <x:v>37</x:v>
      </x:c>
      <x:c r="C6" s="8" t="n">
        <x:v>1214</x:v>
      </x:c>
      <x:c r="D6" s="9" t="n">
        <x:v>0.0305</x:v>
      </x:c>
      <x:c r="E6" s="10" t="n">
        <x:v>6.53</x:v>
      </x:c>
    </x:row>
    <x:row r="7">
      <x:c r="A7" t="str">
        <x:v>https://www.turnkeyautomarketing.com/</x:v>
      </x:c>
      <x:c r="B7" s="8" t="n">
        <x:v>19</x:v>
      </x:c>
      <x:c r="C7" s="8" t="n">
        <x:v>2612</x:v>
      </x:c>
      <x:c r="D7" s="9" t="n">
        <x:v>0.0073</x:v>
      </x:c>
      <x:c r="E7" s="10" t="n">
        <x:v>15.7</x:v>
      </x:c>
    </x:row>
    <x:row r="8">
      <x:c r="A8" t="str">
        <x:v>https://turnkeyautomarketing.com/</x:v>
      </x:c>
      <x:c r="B8" s="8" t="n">
        <x:v>19</x:v>
      </x:c>
      <x:c r="C8" s="8" t="n">
        <x:v>2269</x:v>
      </x:c>
      <x:c r="D8" s="9" t="n">
        <x:v>0.0084</x:v>
      </x:c>
      <x:c r="E8" s="10" t="n">
        <x:v>17.33</x:v>
      </x:c>
    </x:row>
    <x:row r="9">
      <x:c r="A9" t="str">
        <x:v>https://turnkeyautomarketing.com/whoweare/</x:v>
      </x:c>
      <x:c r="B9" s="8" t="n">
        <x:v>5</x:v>
      </x:c>
      <x:c r="C9" s="8" t="n">
        <x:v>757</x:v>
      </x:c>
      <x:c r="D9" s="9" t="n">
        <x:v>0.0066</x:v>
      </x:c>
      <x:c r="E9" s="10" t="n">
        <x:v>7.65</x:v>
      </x:c>
    </x:row>
    <x:row r="10">
      <x:c r="A10" t="str">
        <x:v>https://www.turnkeyautomarketing.com/services/marketing-consulting</x:v>
      </x:c>
      <x:c r="B10" s="8" t="n">
        <x:v>3</x:v>
      </x:c>
      <x:c r="C10" s="8" t="n">
        <x:v>175</x:v>
      </x:c>
      <x:c r="D10" s="9" t="n">
        <x:v>0.0171</x:v>
      </x:c>
      <x:c r="E10" s="10" t="n">
        <x:v>44.98</x:v>
      </x:c>
    </x:row>
    <x:row r="11">
      <x:c r="A11" t="str">
        <x:v>https://www.turnkeyautomarketing.com/about</x:v>
      </x:c>
      <x:c r="B11" s="8" t="n">
        <x:v>2</x:v>
      </x:c>
      <x:c r="C11" s="8" t="n">
        <x:v>610</x:v>
      </x:c>
      <x:c r="D11" s="9" t="n">
        <x:v>0.0033</x:v>
      </x:c>
      <x:c r="E11" s="10" t="n">
        <x:v>9.21</x:v>
      </x:c>
    </x:row>
    <x:row r="12">
      <x:c r="A12" t="str">
        <x:v>https://www.turnkeyautomarketing.com/resources/auto-repair-shop-photography-guide</x:v>
      </x:c>
      <x:c r="B12" s="8" t="n">
        <x:v>2</x:v>
      </x:c>
      <x:c r="C12" s="8" t="n">
        <x:v>11</x:v>
      </x:c>
      <x:c r="D12" s="9" t="n">
        <x:v>0.1818</x:v>
      </x:c>
      <x:c r="E12" s="10" t="n">
        <x:v>6.27</x:v>
      </x:c>
    </x:row>
    <x:row r="13">
      <x:c r="A13" t="str">
        <x:v>https://www.turnkeyautomarketing.com/?utm_source=google&amp;utm_medium=organic&amp;utm_campaign=gbp&amp;utm_content=website_button</x:v>
      </x:c>
      <x:c r="B13" s="8" t="n">
        <x:v>1</x:v>
      </x:c>
      <x:c r="C13" s="8" t="n">
        <x:v>248</x:v>
      </x:c>
      <x:c r="D13" s="9" t="n">
        <x:v>0.004</x:v>
      </x:c>
      <x:c r="E13" s="10" t="n">
        <x:v>6.86</x:v>
      </x:c>
    </x:row>
    <x:row r="14">
      <x:c r="A14" t="str">
        <x:v>https://turnkeyautomarketing.com/create-customer-profile-auto-repair-shop/</x:v>
      </x:c>
      <x:c r="B14" s="8" t="n">
        <x:v>1</x:v>
      </x:c>
      <x:c r="C14" s="8" t="n">
        <x:v>76</x:v>
      </x:c>
      <x:c r="D14" s="9" t="n">
        <x:v>0.0132</x:v>
      </x:c>
      <x:c r="E14" s="10" t="n">
        <x:v>6.32</x:v>
      </x:c>
    </x:row>
    <x:row r="15">
      <x:c r="A15" t="str">
        <x:v>https://www.turnkeyautomarketing.com/services/vip-marketing-manager</x:v>
      </x:c>
      <x:c r="B15" s="8" t="n">
        <x:v>1</x:v>
      </x:c>
      <x:c r="C15" s="8" t="n">
        <x:v>70</x:v>
      </x:c>
      <x:c r="D15" s="9" t="n">
        <x:v>0.0143</x:v>
      </x:c>
      <x:c r="E15" s="10" t="n">
        <x:v>4.34</x:v>
      </x:c>
    </x:row>
    <x:row r="16">
      <x:c r="A16" t="str">
        <x:v>https://turnkeyautomarketing.com/ati-superconference-2023/</x:v>
      </x:c>
      <x:c r="B16" s="8" t="n">
        <x:v>1</x:v>
      </x:c>
      <x:c r="C16" s="8" t="n">
        <x:v>7</x:v>
      </x:c>
      <x:c r="D16" s="9" t="n">
        <x:v>0.1429</x:v>
      </x:c>
      <x:c r="E16" s="10" t="n">
        <x:v>4</x:v>
      </x:c>
    </x:row>
    <x:row r="17">
      <x:c r="A17" t="str">
        <x:v>https://www.turnkeyautomarketing.com/resources</x:v>
      </x:c>
      <x:c r="B17" s="8" t="n">
        <x:v>0</x:v>
      </x:c>
      <x:c r="C17" s="8" t="n">
        <x:v>1431</x:v>
      </x:c>
      <x:c r="D17" s="9" t="n">
        <x:v>0</x:v>
      </x:c>
      <x:c r="E17" s="10" t="n">
        <x:v>45.9</x:v>
      </x:c>
    </x:row>
    <x:row r="18">
      <x:c r="A18" t="str">
        <x:v>https://www.turnkeyautomarketing.com/results</x:v>
      </x:c>
      <x:c r="B18" s="8" t="n">
        <x:v>0</x:v>
      </x:c>
      <x:c r="C18" s="8" t="n">
        <x:v>595</x:v>
      </x:c>
      <x:c r="D18" s="9" t="n">
        <x:v>0</x:v>
      </x:c>
      <x:c r="E18" s="10" t="n">
        <x:v>27.12</x:v>
      </x:c>
    </x:row>
    <x:row r="19">
      <x:c r="A19" t="str">
        <x:v>https://www.turnkeyautomarketing.com/services</x:v>
      </x:c>
      <x:c r="B19" s="8" t="n">
        <x:v>0</x:v>
      </x:c>
      <x:c r="C19" s="8" t="n">
        <x:v>515</x:v>
      </x:c>
      <x:c r="D19" s="9" t="n">
        <x:v>0</x:v>
      </x:c>
      <x:c r="E19" s="10" t="n">
        <x:v>9.53</x:v>
      </x:c>
    </x:row>
    <x:row r="20">
      <x:c r="A20" t="str">
        <x:v>https://www.turnkeyautomarketing.com/services/digital-marketing</x:v>
      </x:c>
      <x:c r="B20" s="8" t="n">
        <x:v>0</x:v>
      </x:c>
      <x:c r="C20" s="8" t="n">
        <x:v>476</x:v>
      </x:c>
      <x:c r="D20" s="9" t="n">
        <x:v>0</x:v>
      </x:c>
      <x:c r="E20" s="10" t="n">
        <x:v>55.07</x:v>
      </x:c>
    </x:row>
    <x:row r="21">
      <x:c r="A21" t="str">
        <x:v>https://www.turnkeyautomarketing.com/services/direct-mail</x:v>
      </x:c>
      <x:c r="B21" s="8" t="n">
        <x:v>0</x:v>
      </x:c>
      <x:c r="C21" s="8" t="n">
        <x:v>463</x:v>
      </x:c>
      <x:c r="D21" s="9" t="n">
        <x:v>0</x:v>
      </x:c>
      <x:c r="E21" s="10" t="n">
        <x:v>57.81</x:v>
      </x:c>
    </x:row>
    <x:row r="22">
      <x:c r="A22" t="str">
        <x:v>https://www.turnkeyautomarketing.com/resources/auto-repair-marketing-plan</x:v>
      </x:c>
      <x:c r="B22" s="8" t="n">
        <x:v>0</x:v>
      </x:c>
      <x:c r="C22" s="8" t="n">
        <x:v>453</x:v>
      </x:c>
      <x:c r="D22" s="9" t="n">
        <x:v>0</x:v>
      </x:c>
      <x:c r="E22" s="10" t="n">
        <x:v>29.63</x:v>
      </x:c>
    </x:row>
    <x:row r="23">
      <x:c r="A23" t="str">
        <x:v>https://turnkeyautomarketing.com/whatwedo/</x:v>
      </x:c>
      <x:c r="B23" s="8" t="n">
        <x:v>0</x:v>
      </x:c>
      <x:c r="C23" s="8" t="n">
        <x:v>440</x:v>
      </x:c>
      <x:c r="D23" s="9" t="n">
        <x:v>0</x:v>
      </x:c>
      <x:c r="E23" s="10" t="n">
        <x:v>9.08</x:v>
      </x:c>
    </x:row>
    <x:row r="24">
      <x:c r="A24" t="str">
        <x:v>https://turnkeyautomarketing.com/why-us/</x:v>
      </x:c>
      <x:c r="B24" s="8" t="n">
        <x:v>0</x:v>
      </x:c>
      <x:c r="C24" s="8" t="n">
        <x:v>383</x:v>
      </x:c>
      <x:c r="D24" s="9" t="n">
        <x:v>0</x:v>
      </x:c>
      <x:c r="E24" s="10" t="n">
        <x:v>10.47</x:v>
      </x:c>
    </x:row>
    <x:row r="25">
      <x:c r="A25" t="str">
        <x:v>https://turnkeyautomarketing.com/insights/</x:v>
      </x:c>
      <x:c r="B25" s="8" t="n">
        <x:v>0</x:v>
      </x:c>
      <x:c r="C25" s="8" t="n">
        <x:v>360</x:v>
      </x:c>
      <x:c r="D25" s="9" t="n">
        <x:v>0</x:v>
      </x:c>
      <x:c r="E25" s="10" t="n">
        <x:v>11.18</x:v>
      </x:c>
    </x:row>
    <x:row r="26">
      <x:c r="A26" t="str">
        <x:v>https://www.turnkeyautomarketing.com/services/social-media-marketing</x:v>
      </x:c>
      <x:c r="B26" s="8" t="n">
        <x:v>0</x:v>
      </x:c>
      <x:c r="C26" s="8" t="n">
        <x:v>314</x:v>
      </x:c>
      <x:c r="D26" s="9" t="n">
        <x:v>0</x:v>
      </x:c>
      <x:c r="E26" s="10" t="n">
        <x:v>38.86</x:v>
      </x:c>
    </x:row>
    <x:row r="27">
      <x:c r="A27" t="str">
        <x:v>https://turnkeyautomarketing.com/how-to-create-a-winning-marketing-plan-for-your-auto-repair-shop/</x:v>
      </x:c>
      <x:c r="B27" s="8" t="n">
        <x:v>0</x:v>
      </x:c>
      <x:c r="C27" s="8" t="n">
        <x:v>283</x:v>
      </x:c>
      <x:c r="D27" s="9" t="n">
        <x:v>0</x:v>
      </x:c>
      <x:c r="E27" s="10" t="n">
        <x:v>43.84</x:v>
      </x:c>
    </x:row>
    <x:row r="28">
      <x:c r="A28" t="str">
        <x:v>https://turnkeyautomarketing.com/category/marketing/</x:v>
      </x:c>
      <x:c r="B28" s="8" t="n">
        <x:v>0</x:v>
      </x:c>
      <x:c r="C28" s="8" t="n">
        <x:v>224</x:v>
      </x:c>
      <x:c r="D28" s="9" t="n">
        <x:v>0</x:v>
      </x:c>
      <x:c r="E28" s="10" t="n">
        <x:v>14.2</x:v>
      </x:c>
    </x:row>
    <x:row r="29">
      <x:c r="A29" t="str">
        <x:v>https://www.turnkeyautomarketing.com/resources/direct-mail-for-repair-shops</x:v>
      </x:c>
      <x:c r="B29" s="8" t="n">
        <x:v>0</x:v>
      </x:c>
      <x:c r="C29" s="8" t="n">
        <x:v>212</x:v>
      </x:c>
      <x:c r="D29" s="9" t="n">
        <x:v>0</x:v>
      </x:c>
      <x:c r="E29" s="10" t="n">
        <x:v>35.07</x:v>
      </x:c>
    </x:row>
    <x:row r="30">
      <x:c r="A30" t="str">
        <x:v>https://www.turnkeyautomarketing.com/contact</x:v>
      </x:c>
      <x:c r="B30" s="8" t="n">
        <x:v>0</x:v>
      </x:c>
      <x:c r="C30" s="8" t="n">
        <x:v>165</x:v>
      </x:c>
      <x:c r="D30" s="9" t="n">
        <x:v>0</x:v>
      </x:c>
      <x:c r="E30" s="10" t="n">
        <x:v>50.9</x:v>
      </x:c>
    </x:row>
    <x:row r="31">
      <x:c r="A31" t="str">
        <x:v>https://www.turnkeyautomarketing.com/terms-of-service</x:v>
      </x:c>
      <x:c r="B31" s="8" t="n">
        <x:v>0</x:v>
      </x:c>
      <x:c r="C31" s="8" t="n">
        <x:v>145</x:v>
      </x:c>
      <x:c r="D31" s="9" t="n">
        <x:v>0</x:v>
      </x:c>
      <x:c r="E31" s="10" t="n">
        <x:v>10.31</x:v>
      </x:c>
    </x:row>
    <x:row r="32">
      <x:c r="A32" t="str">
        <x:v>https://turnkeyautomarketing.com/contact-us/</x:v>
      </x:c>
      <x:c r="B32" s="8" t="n">
        <x:v>0</x:v>
      </x:c>
      <x:c r="C32" s="8" t="n">
        <x:v>140</x:v>
      </x:c>
      <x:c r="D32" s="9" t="n">
        <x:v>0</x:v>
      </x:c>
      <x:c r="E32" s="10" t="n">
        <x:v>30.98</x:v>
      </x:c>
    </x:row>
    <x:row r="33">
      <x:c r="A33" t="str">
        <x:v>https://www.turnkeyautomarketing.com/privacy-policy</x:v>
      </x:c>
      <x:c r="B33" s="8" t="n">
        <x:v>0</x:v>
      </x:c>
      <x:c r="C33" s="8" t="n">
        <x:v>137</x:v>
      </x:c>
      <x:c r="D33" s="9" t="n">
        <x:v>0</x:v>
      </x:c>
      <x:c r="E33" s="10" t="n">
        <x:v>14.56</x:v>
      </x:c>
    </x:row>
    <x:row r="34">
      <x:c r="A34" t="str">
        <x:v>https://www.turnkeyautomarketing.com/book-a-call</x:v>
      </x:c>
      <x:c r="B34" s="8" t="n">
        <x:v>0</x:v>
      </x:c>
      <x:c r="C34" s="8" t="n">
        <x:v>73</x:v>
      </x:c>
      <x:c r="D34" s="9" t="n">
        <x:v>0</x:v>
      </x:c>
      <x:c r="E34" s="10" t="n">
        <x:v>64.88</x:v>
      </x:c>
    </x:row>
    <x:row r="35">
      <x:c r="A35" t="str">
        <x:v>https://turnkeyautomarketing.com/category/news/</x:v>
      </x:c>
      <x:c r="B35" s="8" t="n">
        <x:v>0</x:v>
      </x:c>
      <x:c r="C35" s="8" t="n">
        <x:v>56</x:v>
      </x:c>
      <x:c r="D35" s="9" t="n">
        <x:v>0</x:v>
      </x:c>
      <x:c r="E35" s="10" t="n">
        <x:v>13.43</x:v>
      </x:c>
    </x:row>
    <x:row r="36">
      <x:c r="A36" t="str">
        <x:v>https://turnkeyautomarketing.com/celebrating-10-years-of-turnkey-marketing/</x:v>
      </x:c>
      <x:c r="B36" s="8" t="n">
        <x:v>0</x:v>
      </x:c>
      <x:c r="C36" s="8" t="n">
        <x:v>33</x:v>
      </x:c>
      <x:c r="D36" s="9" t="n">
        <x:v>0</x:v>
      </x:c>
      <x:c r="E36" s="10" t="n">
        <x:v>9.27</x:v>
      </x:c>
    </x:row>
    <x:row r="37">
      <x:c r="A37" t="str">
        <x:v>https://www.turnkeyautomarketing.com/resources/ideal-customer-profile-auto-repair-shop</x:v>
      </x:c>
      <x:c r="B37" s="8" t="n">
        <x:v>0</x:v>
      </x:c>
      <x:c r="C37" s="8" t="n">
        <x:v>28</x:v>
      </x:c>
      <x:c r="D37" s="9" t="n">
        <x:v>0</x:v>
      </x:c>
      <x:c r="E37" s="10" t="n">
        <x:v>33.07</x:v>
      </x:c>
    </x:row>
    <x:row r="38">
      <x:c r="A38" t="str">
        <x:v>https://turnkeyautomarketing.com/author/michael/</x:v>
      </x:c>
      <x:c r="B38" s="8" t="n">
        <x:v>0</x:v>
      </x:c>
      <x:c r="C38" s="8" t="n">
        <x:v>27</x:v>
      </x:c>
      <x:c r="D38" s="9" t="n">
        <x:v>0</x:v>
      </x:c>
      <x:c r="E38" s="10" t="n">
        <x:v>6.85</x:v>
      </x:c>
    </x:row>
    <x:row r="39">
      <x:c r="A39" t="str">
        <x:v>https://turnkeyautomarketing.com/new-autoshop-solutions-partners-with-turnkey-marketing/</x:v>
      </x:c>
      <x:c r="B39" s="8" t="n">
        <x:v>0</x:v>
      </x:c>
      <x:c r="C39" s="8" t="n">
        <x:v>19</x:v>
      </x:c>
      <x:c r="D39" s="9" t="n">
        <x:v>0</x:v>
      </x:c>
      <x:c r="E39" s="10" t="n">
        <x:v>12.26</x:v>
      </x:c>
    </x:row>
    <x:row r="40">
      <x:c r="A40" t="str">
        <x:v>https://www.turnkeyautomarketing.com/resources/5-marketing-mistakes-shop-owners-make</x:v>
      </x:c>
      <x:c r="B40" s="8" t="n">
        <x:v>0</x:v>
      </x:c>
      <x:c r="C40" s="8" t="n">
        <x:v>17</x:v>
      </x:c>
      <x:c r="D40" s="9" t="n">
        <x:v>0</x:v>
      </x:c>
      <x:c r="E40" s="10" t="n">
        <x:v>15.18</x:v>
      </x:c>
    </x:row>
    <x:row r="41">
      <x:c r="A41" t="str">
        <x:v>https://www.turnkeyautomarketing.com/resources/be-the-guide-auto-repair-shop-messaging</x:v>
      </x:c>
      <x:c r="B41" s="8" t="n">
        <x:v>0</x:v>
      </x:c>
      <x:c r="C41" s="8" t="n">
        <x:v>16</x:v>
      </x:c>
      <x:c r="D41" s="9" t="n">
        <x:v>0</x:v>
      </x:c>
      <x:c r="E41" s="10" t="n">
        <x:v>36.75</x:v>
      </x:c>
    </x:row>
    <x:row r="42">
      <x:c r="A42" t="str">
        <x:v>https://turnkeyautomarketing.com/author/michael/page/3/</x:v>
      </x:c>
      <x:c r="B42" s="8" t="n">
        <x:v>0</x:v>
      </x:c>
      <x:c r="C42" s="8" t="n">
        <x:v>15</x:v>
      </x:c>
      <x:c r="D42" s="9" t="n">
        <x:v>0</x:v>
      </x:c>
      <x:c r="E42" s="10" t="n">
        <x:v>7.6</x:v>
      </x:c>
    </x:row>
    <x:row r="43">
      <x:c r="A43" t="str">
        <x:v>https://www.turnkeyautomarketing.com/category/marketing/page/2/</x:v>
      </x:c>
      <x:c r="B43" s="8" t="n">
        <x:v>0</x:v>
      </x:c>
      <x:c r="C43" s="8" t="n">
        <x:v>14</x:v>
      </x:c>
      <x:c r="D43" s="9" t="n">
        <x:v>0</x:v>
      </x:c>
      <x:c r="E43" s="10" t="n">
        <x:v>7.79</x:v>
      </x:c>
    </x:row>
    <x:row r="44">
      <x:c r="A44" t="str">
        <x:v>https://www.turnkeyautomarketing.com/insights/page/3/</x:v>
      </x:c>
      <x:c r="B44" s="8" t="n">
        <x:v>0</x:v>
      </x:c>
      <x:c r="C44" s="8" t="n">
        <x:v>12</x:v>
      </x:c>
      <x:c r="D44" s="9" t="n">
        <x:v>0</x:v>
      </x:c>
      <x:c r="E44" s="10" t="n">
        <x:v>5.92</x:v>
      </x:c>
    </x:row>
    <x:row r="45">
      <x:c r="A45" t="str">
        <x:v>https://turnkeyautomarketing.com/use-this-magical-three-word-filter-to-woo-customers-to-your-auto-repair-shop/</x:v>
      </x:c>
      <x:c r="B45" s="8" t="n">
        <x:v>0</x:v>
      </x:c>
      <x:c r="C45" s="8" t="n">
        <x:v>10</x:v>
      </x:c>
      <x:c r="D45" s="9" t="n">
        <x:v>0</x:v>
      </x:c>
      <x:c r="E45" s="10" t="n">
        <x:v>3.5</x:v>
      </x:c>
    </x:row>
    <x:row r="46">
      <x:c r="A46" t="str">
        <x:v>https://turnkeyautomarketing.com/joe-flammer-ratchet-wrench/</x:v>
      </x:c>
      <x:c r="B46" s="8" t="n">
        <x:v>0</x:v>
      </x:c>
      <x:c r="C46" s="8" t="n">
        <x:v>10</x:v>
      </x:c>
      <x:c r="D46" s="9" t="n">
        <x:v>0</x:v>
      </x:c>
      <x:c r="E46" s="10" t="n">
        <x:v>8.7</x:v>
      </x:c>
    </x:row>
    <x:row r="47">
      <x:c r="A47" t="str">
        <x:v>https://www.turnkeyautomarketing.com/services/directtrack-marketing</x:v>
      </x:c>
      <x:c r="B47" s="8" t="n">
        <x:v>0</x:v>
      </x:c>
      <x:c r="C47" s="8" t="n">
        <x:v>10</x:v>
      </x:c>
      <x:c r="D47" s="9" t="n">
        <x:v>0</x:v>
      </x:c>
      <x:c r="E47" s="10" t="n">
        <x:v>10.6</x:v>
      </x:c>
    </x:row>
    <x:row r="48">
      <x:c r="A48" t="str">
        <x:v>https://turnkeyautomarketing.com/auto-repair-shop-photography/</x:v>
      </x:c>
      <x:c r="B48" s="8" t="n">
        <x:v>0</x:v>
      </x:c>
      <x:c r="C48" s="8" t="n">
        <x:v>9</x:v>
      </x:c>
      <x:c r="D48" s="9" t="n">
        <x:v>0</x:v>
      </x:c>
      <x:c r="E48" s="10" t="n">
        <x:v>5.89</x:v>
      </x:c>
    </x:row>
    <x:row r="49">
      <x:c r="A49" t="str">
        <x:v>https://turnkeyautomarketing.com/hcs-auto-repair-wins-best-auto-repair-in-northwest-arkansas/</x:v>
      </x:c>
      <x:c r="B49" s="8" t="n">
        <x:v>0</x:v>
      </x:c>
      <x:c r="C49" s="8" t="n">
        <x:v>9</x:v>
      </x:c>
      <x:c r="D49" s="9" t="n">
        <x:v>0</x:v>
      </x:c>
      <x:c r="E49" s="10" t="n">
        <x:v>9.44</x:v>
      </x:c>
    </x:row>
    <x:row r="50">
      <x:c r="A50" t="str">
        <x:v>https://turnkeyautomarketing.com/vision-hi-tech-training-and-expo-2023-a-gathering-party/</x:v>
      </x:c>
      <x:c r="B50" s="8" t="n">
        <x:v>0</x:v>
      </x:c>
      <x:c r="C50" s="8" t="n">
        <x:v>3</x:v>
      </x:c>
      <x:c r="D50" s="9" t="n">
        <x:v>0</x:v>
      </x:c>
      <x:c r="E50" s="10" t="n">
        <x:v>3.33</x:v>
      </x:c>
    </x:row>
    <x:row r="51">
      <x:c r="A51" t="str">
        <x:v>https://www.turnkeyautomarketing.com/use-this-magical-three-word-filter-to-woo-customers-to-your-auto-repair-shop/</x:v>
      </x:c>
      <x:c r="B51" s="8" t="n">
        <x:v>0</x:v>
      </x:c>
      <x:c r="C51" s="8" t="n">
        <x:v>3</x:v>
      </x:c>
      <x:c r="D51" s="9" t="n">
        <x:v>0</x:v>
      </x:c>
      <x:c r="E51" s="10" t="n">
        <x:v>3.33</x:v>
      </x:c>
    </x:row>
    <x:row r="52">
      <x:c r="A52" t="str">
        <x:v>https://turnkeyautomarketing.com/kindness-and-generosity-from-ultimate-auto-repair/</x:v>
      </x:c>
      <x:c r="B52" s="8" t="n">
        <x:v>0</x:v>
      </x:c>
      <x:c r="C52" s="8" t="n">
        <x:v>3</x:v>
      </x:c>
      <x:c r="D52" s="9" t="n">
        <x:v>0</x:v>
      </x:c>
      <x:c r="E52" s="10" t="n">
        <x:v>33.67</x:v>
      </x:c>
    </x:row>
    <x:row r="53">
      <x:c r="A53" t="str">
        <x:v>https://www.turnkeyautomarketing.com/services/retention-marketing</x:v>
      </x:c>
      <x:c r="B53" s="8" t="n">
        <x:v>0</x:v>
      </x:c>
      <x:c r="C53" s="8" t="n">
        <x:v>2</x:v>
      </x:c>
      <x:c r="D53" s="9" t="n">
        <x:v>0</x:v>
      </x:c>
      <x:c r="E53" s="10" t="n">
        <x:v>1</x:v>
      </x:c>
    </x:row>
    <x:row r="54">
      <x:c r="A54" t="str">
        <x:v>https://turnkeyautomarketing.com/services</x:v>
      </x:c>
      <x:c r="B54" s="8" t="n">
        <x:v>0</x:v>
      </x:c>
      <x:c r="C54" s="8" t="n">
        <x:v>2</x:v>
      </x:c>
      <x:c r="D54" s="9" t="n">
        <x:v>0</x:v>
      </x:c>
      <x:c r="E54" s="10" t="n">
        <x:v>4</x:v>
      </x:c>
    </x:row>
    <x:row r="55">
      <x:c r="A55" t="str">
        <x:v>https://www.turnkeyautomarketing.com/resources/know-like-trust-marketing-filter</x:v>
      </x:c>
      <x:c r="B55" s="8" t="n">
        <x:v>0</x:v>
      </x:c>
      <x:c r="C55" s="8" t="n">
        <x:v>2</x:v>
      </x:c>
      <x:c r="D55" s="9" t="n">
        <x:v>0</x:v>
      </x:c>
      <x:c r="E55" s="10" t="n">
        <x:v>5.5</x:v>
      </x:c>
    </x:row>
    <x:row r="56">
      <x:c r="A56" t="str">
        <x:v>https://www.turnkeyautomarketing.com/category/clients/</x:v>
      </x:c>
      <x:c r="B56" s="8" t="n">
        <x:v>0</x:v>
      </x:c>
      <x:c r="C56" s="8" t="n">
        <x:v>2</x:v>
      </x:c>
      <x:c r="D56" s="9" t="n">
        <x:v>0</x:v>
      </x:c>
      <x:c r="E56" s="10" t="n">
        <x:v>6</x:v>
      </x:c>
    </x:row>
    <x:row r="57">
      <x:c r="A57" t="str">
        <x:v>https://www.turnkeyautomarketing.com/resources/why-auto-repair-marketing-breaks</x:v>
      </x:c>
      <x:c r="B57" s="8" t="n">
        <x:v>0</x:v>
      </x:c>
      <x:c r="C57" s="8" t="n">
        <x:v>2</x:v>
      </x:c>
      <x:c r="D57" s="9" t="n">
        <x:v>0</x:v>
      </x:c>
      <x:c r="E57" s="10" t="n">
        <x:v>6.5</x:v>
      </x:c>
    </x:row>
    <x:row r="58">
      <x:c r="A58" t="str">
        <x:v>https://turnkeyautomarketing.com/vision-kc-restaurants/</x:v>
      </x:c>
      <x:c r="B58" s="8" t="n">
        <x:v>0</x:v>
      </x:c>
      <x:c r="C58" s="8" t="n">
        <x:v>2</x:v>
      </x:c>
      <x:c r="D58" s="9" t="n">
        <x:v>0</x:v>
      </x:c>
      <x:c r="E58" s="10" t="n">
        <x:v>10</x:v>
      </x:c>
    </x:row>
    <x:row r="59">
      <x:c r="A59" t="str">
        <x:v>https://www.turnkeyautomarketing.com/services/boost-days</x:v>
      </x:c>
      <x:c r="B59" s="8" t="n">
        <x:v>0</x:v>
      </x:c>
      <x:c r="C59" s="8" t="n">
        <x:v>2</x:v>
      </x:c>
      <x:c r="D59" s="9" t="n">
        <x:v>0</x:v>
      </x:c>
      <x:c r="E59" s="10" t="n">
        <x:v>12</x:v>
      </x:c>
    </x:row>
    <x:row r="60">
      <x:c r="A60" t="str">
        <x:v>https://turnkeyautomarketing.com/services/digital-marketing</x:v>
      </x:c>
      <x:c r="B60" s="8" t="n">
        <x:v>0</x:v>
      </x:c>
      <x:c r="C60" s="8" t="n">
        <x:v>1</x:v>
      </x:c>
      <x:c r="D60" s="9" t="n">
        <x:v>0</x:v>
      </x:c>
      <x:c r="E60" s="10" t="n">
        <x:v>2</x:v>
      </x:c>
    </x:row>
    <x:row r="61">
      <x:c r="A61" t="str">
        <x:v>https://www.turnkeyautomarketing.com/resources/jason-smith-marketing-plan</x:v>
      </x:c>
      <x:c r="B61" s="8" t="n">
        <x:v>0</x:v>
      </x:c>
      <x:c r="C61" s="8" t="n">
        <x:v>1</x:v>
      </x:c>
      <x:c r="D61" s="9" t="n">
        <x:v>0</x:v>
      </x:c>
      <x:c r="E61" s="10" t="n">
        <x:v>8</x:v>
      </x:c>
    </x:row>
    <x:row r="62">
      <x:c r="A62" t="str">
        <x:v>https://turnkeyautomarketing.com/two-keys-auto-repair-shop-message/</x:v>
      </x:c>
      <x:c r="B62" s="8" t="n">
        <x:v>0</x:v>
      </x:c>
      <x:c r="C62" s="8" t="n">
        <x:v>1</x:v>
      </x:c>
      <x:c r="D62" s="9" t="n">
        <x:v>0</x:v>
      </x:c>
      <x:c r="E62" s="10" t="n">
        <x:v>11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4e071825a8504b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3" t="str">
        <x:v>GSC Daily Trend — Last 28 Days</x:v>
      </x:c>
      <x:c r="B1" s="3" t="str">
        <x:v>GSC Daily Trend — Last 28 Days</x:v>
      </x:c>
      <x:c r="C1" s="3" t="str">
        <x:v>GSC Daily Trend — Last 28 Days</x:v>
      </x:c>
      <x:c r="D1" s="3" t="str">
        <x:v>GSC Daily Trend — Last 28 Days</x:v>
      </x:c>
      <x:c r="E1" s="3" t="str">
        <x:v>GSC Daily Trend — Last 28 Days</x:v>
      </x:c>
    </x:row>
    <x:row r="2" ht="28" customHeight="1">
      <x:c r="A2" s="3" t="str">
        <x:v>GSC Daily Trend — Last 28 Days</x:v>
      </x:c>
      <x:c r="B2" s="3" t="str">
        <x:v>GSC Daily Trend — Last 28 Days</x:v>
      </x:c>
      <x:c r="C2" s="3" t="str">
        <x:v>GSC Daily Trend — Last 28 Days</x:v>
      </x:c>
      <x:c r="D2" s="3" t="str">
        <x:v>GSC Daily Trend — Last 28 Days</x:v>
      </x:c>
      <x:c r="E2" s="3" t="str">
        <x:v>GSC Daily Trend — Last 28 Days</x:v>
      </x:c>
    </x:row>
    <x:row r="3" ht="28" customHeight="1">
      <x:c r="A3" s="7" t="str">
        <x:v>Source: Google Search Console export dated 2026-08-04. Useful for monitoring the post-migration baseline.</x:v>
      </x:c>
      <x:c r="B3" s="7" t="str">
        <x:v>Source: Google Search Console export dated 2026-08-04. Useful for monitoring the post-migration baseline.</x:v>
      </x:c>
      <x:c r="C3" s="7" t="str">
        <x:v>Source: Google Search Console export dated 2026-08-04. Useful for monitoring the post-migration baseline.</x:v>
      </x:c>
      <x:c r="D3" s="7" t="str">
        <x:v>Source: Google Search Console export dated 2026-08-04. Useful for monitoring the post-migration baseline.</x:v>
      </x:c>
      <x:c r="E3" s="7" t="str">
        <x:v>Source: Google Search Console export dated 2026-08-04. Useful for monitoring the post-migration baseline.</x:v>
      </x:c>
    </x:row>
    <x:row r="5">
      <x:c r="A5" t="str">
        <x:v>Date</x:v>
      </x:c>
      <x:c r="B5" t="str">
        <x:v>Clicks</x:v>
      </x:c>
      <x:c r="C5" t="str">
        <x:v>Impressions</x:v>
      </x:c>
      <x:c r="D5" t="str">
        <x:v>CTR</x:v>
      </x:c>
      <x:c r="E5" t="str">
        <x:v>Position</x:v>
      </x:c>
    </x:row>
    <x:row r="6">
      <x:c r="A6" s="12" t="str">
        <x:v>2026-07-06</x:v>
      </x:c>
      <x:c r="B6" s="8" t="n">
        <x:v>3</x:v>
      </x:c>
      <x:c r="C6" s="8" t="n">
        <x:v>355</x:v>
      </x:c>
      <x:c r="D6" s="9" t="n">
        <x:v>0.0085</x:v>
      </x:c>
      <x:c r="E6" s="10" t="n">
        <x:v>22.7</x:v>
      </x:c>
    </x:row>
    <x:row r="7">
      <x:c r="A7" s="12" t="str">
        <x:v>2026-07-07</x:v>
      </x:c>
      <x:c r="B7" s="8" t="n">
        <x:v>4</x:v>
      </x:c>
      <x:c r="C7" s="8" t="n">
        <x:v>303</x:v>
      </x:c>
      <x:c r="D7" s="9" t="n">
        <x:v>0.0132</x:v>
      </x:c>
      <x:c r="E7" s="10" t="n">
        <x:v>17.7</x:v>
      </x:c>
    </x:row>
    <x:row r="8">
      <x:c r="A8" s="12" t="str">
        <x:v>2026-07-08</x:v>
      </x:c>
      <x:c r="B8" s="8" t="n">
        <x:v>4</x:v>
      </x:c>
      <x:c r="C8" s="8" t="n">
        <x:v>342</x:v>
      </x:c>
      <x:c r="D8" s="9" t="n">
        <x:v>0.011699999999999999</x:v>
      </x:c>
      <x:c r="E8" s="10" t="n">
        <x:v>13.2</x:v>
      </x:c>
    </x:row>
    <x:row r="9">
      <x:c r="A9" s="12" t="str">
        <x:v>2026-07-09</x:v>
      </x:c>
      <x:c r="B9" s="8" t="n">
        <x:v>10</x:v>
      </x:c>
      <x:c r="C9" s="8" t="n">
        <x:v>292</x:v>
      </x:c>
      <x:c r="D9" s="9" t="n">
        <x:v>0.0342</x:v>
      </x:c>
      <x:c r="E9" s="10" t="n">
        <x:v>16.8</x:v>
      </x:c>
    </x:row>
    <x:row r="10">
      <x:c r="A10" s="12" t="str">
        <x:v>2026-07-10</x:v>
      </x:c>
      <x:c r="B10" s="8" t="n">
        <x:v>1</x:v>
      </x:c>
      <x:c r="C10" s="8" t="n">
        <x:v>329</x:v>
      </x:c>
      <x:c r="D10" s="9" t="n">
        <x:v>0.003</x:v>
      </x:c>
      <x:c r="E10" s="10" t="n">
        <x:v>12.6</x:v>
      </x:c>
    </x:row>
    <x:row r="11">
      <x:c r="A11" s="12" t="str">
        <x:v>2026-07-11</x:v>
      </x:c>
      <x:c r="B11" s="8" t="n">
        <x:v>2</x:v>
      </x:c>
      <x:c r="C11" s="8" t="n">
        <x:v>165</x:v>
      </x:c>
      <x:c r="D11" s="9" t="n">
        <x:v>0.0121</x:v>
      </x:c>
      <x:c r="E11" s="10" t="n">
        <x:v>19.8</x:v>
      </x:c>
    </x:row>
    <x:row r="12">
      <x:c r="A12" s="12" t="str">
        <x:v>2026-07-12</x:v>
      </x:c>
      <x:c r="B12" s="8" t="n">
        <x:v>1</x:v>
      </x:c>
      <x:c r="C12" s="8" t="n">
        <x:v>232</x:v>
      </x:c>
      <x:c r="D12" s="9" t="n">
        <x:v>0.0043</x:v>
      </x:c>
      <x:c r="E12" s="10" t="n">
        <x:v>21.9</x:v>
      </x:c>
    </x:row>
    <x:row r="13">
      <x:c r="A13" s="12" t="str">
        <x:v>2026-07-13</x:v>
      </x:c>
      <x:c r="B13" s="8" t="n">
        <x:v>2</x:v>
      </x:c>
      <x:c r="C13" s="8" t="n">
        <x:v>226</x:v>
      </x:c>
      <x:c r="D13" s="9" t="n">
        <x:v>0.0088</x:v>
      </x:c>
      <x:c r="E13" s="10" t="n">
        <x:v>16.9</x:v>
      </x:c>
    </x:row>
    <x:row r="14">
      <x:c r="A14" s="12" t="str">
        <x:v>2026-07-14</x:v>
      </x:c>
      <x:c r="B14" s="8" t="n">
        <x:v>4</x:v>
      </x:c>
      <x:c r="C14" s="8" t="n">
        <x:v>260</x:v>
      </x:c>
      <x:c r="D14" s="9" t="n">
        <x:v>0.0154</x:v>
      </x:c>
      <x:c r="E14" s="10" t="n">
        <x:v>19.2</x:v>
      </x:c>
    </x:row>
    <x:row r="15">
      <x:c r="A15" s="12" t="str">
        <x:v>2026-07-15</x:v>
      </x:c>
      <x:c r="B15" s="8" t="n">
        <x:v>6</x:v>
      </x:c>
      <x:c r="C15" s="8" t="n">
        <x:v>252</x:v>
      </x:c>
      <x:c r="D15" s="9" t="n">
        <x:v>0.023799999999999998</x:v>
      </x:c>
      <x:c r="E15" s="10" t="n">
        <x:v>15.7</x:v>
      </x:c>
    </x:row>
    <x:row r="16">
      <x:c r="A16" s="12" t="str">
        <x:v>2026-07-16</x:v>
      </x:c>
      <x:c r="B16" s="8" t="n">
        <x:v>4</x:v>
      </x:c>
      <x:c r="C16" s="8" t="n">
        <x:v>210</x:v>
      </x:c>
      <x:c r="D16" s="9" t="n">
        <x:v>0.019</x:v>
      </x:c>
      <x:c r="E16" s="10" t="n">
        <x:v>16.8</x:v>
      </x:c>
    </x:row>
    <x:row r="17">
      <x:c r="A17" s="12" t="str">
        <x:v>2026-07-17</x:v>
      </x:c>
      <x:c r="B17" s="8" t="n">
        <x:v>1</x:v>
      </x:c>
      <x:c r="C17" s="8" t="n">
        <x:v>248</x:v>
      </x:c>
      <x:c r="D17" s="9" t="n">
        <x:v>0.004</x:v>
      </x:c>
      <x:c r="E17" s="10" t="n">
        <x:v>13</x:v>
      </x:c>
    </x:row>
    <x:row r="18">
      <x:c r="A18" s="12" t="str">
        <x:v>2026-07-18</x:v>
      </x:c>
      <x:c r="B18" s="8" t="n">
        <x:v>2</x:v>
      </x:c>
      <x:c r="C18" s="8" t="n">
        <x:v>211</x:v>
      </x:c>
      <x:c r="D18" s="9" t="n">
        <x:v>0.0095</x:v>
      </x:c>
      <x:c r="E18" s="10" t="n">
        <x:v>18.4</x:v>
      </x:c>
    </x:row>
    <x:row r="19">
      <x:c r="A19" s="12" t="str">
        <x:v>2026-07-19</x:v>
      </x:c>
      <x:c r="B19" s="8" t="n">
        <x:v>0</x:v>
      </x:c>
      <x:c r="C19" s="8" t="n">
        <x:v>277</x:v>
      </x:c>
      <x:c r="D19" s="9" t="n">
        <x:v>0</x:v>
      </x:c>
      <x:c r="E19" s="10" t="n">
        <x:v>32.6</x:v>
      </x:c>
    </x:row>
    <x:row r="20">
      <x:c r="A20" s="12" t="str">
        <x:v>2026-07-20</x:v>
      </x:c>
      <x:c r="B20" s="8" t="n">
        <x:v>3</x:v>
      </x:c>
      <x:c r="C20" s="8" t="n">
        <x:v>471</x:v>
      </x:c>
      <x:c r="D20" s="9" t="n">
        <x:v>0.0064</x:v>
      </x:c>
      <x:c r="E20" s="10" t="n">
        <x:v>31.8</x:v>
      </x:c>
    </x:row>
    <x:row r="21">
      <x:c r="A21" s="12" t="str">
        <x:v>2026-07-21</x:v>
      </x:c>
      <x:c r="B21" s="8" t="n">
        <x:v>6</x:v>
      </x:c>
      <x:c r="C21" s="8" t="n">
        <x:v>454</x:v>
      </x:c>
      <x:c r="D21" s="9" t="n">
        <x:v>0.0132</x:v>
      </x:c>
      <x:c r="E21" s="10" t="n">
        <x:v>29.1</x:v>
      </x:c>
    </x:row>
    <x:row r="22">
      <x:c r="A22" s="12" t="str">
        <x:v>2026-07-22</x:v>
      </x:c>
      <x:c r="B22" s="8" t="n">
        <x:v>6</x:v>
      </x:c>
      <x:c r="C22" s="8" t="n">
        <x:v>346</x:v>
      </x:c>
      <x:c r="D22" s="9" t="n">
        <x:v>0.0173</x:v>
      </x:c>
      <x:c r="E22" s="10" t="n">
        <x:v>26.2</x:v>
      </x:c>
    </x:row>
    <x:row r="23">
      <x:c r="A23" s="12" t="str">
        <x:v>2026-07-23</x:v>
      </x:c>
      <x:c r="B23" s="8" t="n">
        <x:v>2</x:v>
      </x:c>
      <x:c r="C23" s="8" t="n">
        <x:v>448</x:v>
      </x:c>
      <x:c r="D23" s="9" t="n">
        <x:v>0.0045000000000000005</x:v>
      </x:c>
      <x:c r="E23" s="10" t="n">
        <x:v>32.3</x:v>
      </x:c>
    </x:row>
    <x:row r="24">
      <x:c r="A24" s="12" t="str">
        <x:v>2026-07-24</x:v>
      </x:c>
      <x:c r="B24" s="8" t="n">
        <x:v>4</x:v>
      </x:c>
      <x:c r="C24" s="8" t="n">
        <x:v>401</x:v>
      </x:c>
      <x:c r="D24" s="9" t="n">
        <x:v>0.01</x:v>
      </x:c>
      <x:c r="E24" s="10" t="n">
        <x:v>23.3</x:v>
      </x:c>
    </x:row>
    <x:row r="25">
      <x:c r="A25" s="12" t="str">
        <x:v>2026-07-25</x:v>
      </x:c>
      <x:c r="B25" s="8" t="n">
        <x:v>1</x:v>
      </x:c>
      <x:c r="C25" s="8" t="n">
        <x:v>326</x:v>
      </x:c>
      <x:c r="D25" s="9" t="n">
        <x:v>0.0031</x:v>
      </x:c>
      <x:c r="E25" s="10" t="n">
        <x:v>36.4</x:v>
      </x:c>
    </x:row>
    <x:row r="26">
      <x:c r="A26" s="12" t="str">
        <x:v>2026-07-26</x:v>
      </x:c>
      <x:c r="B26" s="8" t="n">
        <x:v>0</x:v>
      </x:c>
      <x:c r="C26" s="8" t="n">
        <x:v>409</x:v>
      </x:c>
      <x:c r="D26" s="9" t="n">
        <x:v>0</x:v>
      </x:c>
      <x:c r="E26" s="10" t="n">
        <x:v>32.5</x:v>
      </x:c>
    </x:row>
    <x:row r="27">
      <x:c r="A27" s="12" t="str">
        <x:v>2026-07-27</x:v>
      </x:c>
      <x:c r="B27" s="8" t="n">
        <x:v>1</x:v>
      </x:c>
      <x:c r="C27" s="8" t="n">
        <x:v>372</x:v>
      </x:c>
      <x:c r="D27" s="9" t="n">
        <x:v>0.0027</x:v>
      </x:c>
      <x:c r="E27" s="10" t="n">
        <x:v>29.2</x:v>
      </x:c>
    </x:row>
    <x:row r="28">
      <x:c r="A28" s="12" t="str">
        <x:v>2026-07-28</x:v>
      </x:c>
      <x:c r="B28" s="8" t="n">
        <x:v>7</x:v>
      </x:c>
      <x:c r="C28" s="8" t="n">
        <x:v>522</x:v>
      </x:c>
      <x:c r="D28" s="9" t="n">
        <x:v>0.0134</x:v>
      </x:c>
      <x:c r="E28" s="10" t="n">
        <x:v>30.1</x:v>
      </x:c>
    </x:row>
    <x:row r="29">
      <x:c r="A29" s="12" t="str">
        <x:v>2026-07-29</x:v>
      </x:c>
      <x:c r="B29" s="8" t="n">
        <x:v>5</x:v>
      </x:c>
      <x:c r="C29" s="8" t="n">
        <x:v>411</x:v>
      </x:c>
      <x:c r="D29" s="9" t="n">
        <x:v>0.012199999999999999</x:v>
      </x:c>
      <x:c r="E29" s="10" t="n">
        <x:v>26.4</x:v>
      </x:c>
    </x:row>
    <x:row r="30">
      <x:c r="A30" s="12" t="str">
        <x:v>2026-07-30</x:v>
      </x:c>
      <x:c r="B30" s="8" t="n">
        <x:v>3</x:v>
      </x:c>
      <x:c r="C30" s="8" t="n">
        <x:v>516</x:v>
      </x:c>
      <x:c r="D30" s="9" t="n">
        <x:v>0.0058</x:v>
      </x:c>
      <x:c r="E30" s="10" t="n">
        <x:v>33.6</x:v>
      </x:c>
    </x:row>
    <x:row r="31">
      <x:c r="A31" s="12" t="str">
        <x:v>2026-07-31</x:v>
      </x:c>
      <x:c r="B31" s="8" t="n">
        <x:v>4</x:v>
      </x:c>
      <x:c r="C31" s="8" t="n">
        <x:v>363</x:v>
      </x:c>
      <x:c r="D31" s="9" t="n">
        <x:v>0.011000000000000001</x:v>
      </x:c>
      <x:c r="E31" s="10" t="n">
        <x:v>19.7</x:v>
      </x:c>
    </x:row>
    <x:row r="32">
      <x:c r="A32" s="12" t="str">
        <x:v>2026-08-01</x:v>
      </x:c>
      <x:c r="B32" s="8" t="n">
        <x:v>0</x:v>
      </x:c>
      <x:c r="C32" s="8" t="n">
        <x:v>302</x:v>
      </x:c>
      <x:c r="D32" s="9" t="n">
        <x:v>0</x:v>
      </x:c>
      <x:c r="E32" s="10" t="n">
        <x:v>17</x:v>
      </x:c>
    </x:row>
    <x:row r="33">
      <x:c r="A33" s="12" t="str">
        <x:v>2026-08-02</x:v>
      </x:c>
      <x:c r="B33" s="8" t="n">
        <x:v>1</x:v>
      </x:c>
      <x:c r="C33" s="8" t="n">
        <x:v>288</x:v>
      </x:c>
      <x:c r="D33" s="9" t="n">
        <x:v>0.0034999999999999996</x:v>
      </x:c>
      <x:c r="E33" s="10" t="n">
        <x:v>19.5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34951401dd1b44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58" hidden="0" customWidth="1"/>
    <x:col min="7" max="7" width="14" hidden="0" customWidth="1"/>
  </x:cols>
  <x:sheetData>
    <x:row r="1" ht="28" customHeight="1">
      <x:c r="A1" s="3" t="str">
        <x:v>SE Ranking — Tracked Keyword Positions</x:v>
      </x:c>
      <x:c r="B1" s="3" t="str">
        <x:v>SE Ranking — Tracked Keyword Positions</x:v>
      </x:c>
      <x:c r="C1" s="3" t="str">
        <x:v>SE Ranking — Tracked Keyword Positions</x:v>
      </x:c>
      <x:c r="D1" s="3" t="str">
        <x:v>SE Ranking — Tracked Keyword Positions</x:v>
      </x:c>
      <x:c r="E1" s="3" t="str">
        <x:v>SE Ranking — Tracked Keyword Positions</x:v>
      </x:c>
      <x:c r="F1" s="3" t="str">
        <x:v>SE Ranking — Tracked Keyword Positions</x:v>
      </x:c>
      <x:c r="G1" s="3" t="str">
        <x:v>SE Ranking — Tracked Keyword Positions</x:v>
      </x:c>
    </x:row>
    <x:row r="2" ht="28" customHeight="1">
      <x:c r="A2" s="3" t="str">
        <x:v>SE Ranking — Tracked Keyword Positions</x:v>
      </x:c>
      <x:c r="B2" s="3" t="str">
        <x:v>SE Ranking — Tracked Keyword Positions</x:v>
      </x:c>
      <x:c r="C2" s="3" t="str">
        <x:v>SE Ranking — Tracked Keyword Positions</x:v>
      </x:c>
      <x:c r="D2" s="3" t="str">
        <x:v>SE Ranking — Tracked Keyword Positions</x:v>
      </x:c>
      <x:c r="E2" s="3" t="str">
        <x:v>SE Ranking — Tracked Keyword Positions</x:v>
      </x:c>
      <x:c r="F2" s="3" t="str">
        <x:v>SE Ranking — Tracked Keyword Positions</x:v>
      </x:c>
      <x:c r="G2" s="3" t="str">
        <x:v>SE Ranking — Tracked Keyword Positions</x:v>
      </x:c>
    </x:row>
    <x:row r="3" ht="28" customHeight="1">
      <x:c r="A3" s="7" t="str">
        <x:v>US organic project, 2026-08-04. Positions shown as 101 when outside the top 100.</x:v>
      </x:c>
      <x:c r="B3" s="7" t="str">
        <x:v>US organic project, 2026-08-04. Positions shown as 101 when outside the top 100.</x:v>
      </x:c>
      <x:c r="C3" s="7" t="str">
        <x:v>US organic project, 2026-08-04. Positions shown as 101 when outside the top 100.</x:v>
      </x:c>
      <x:c r="D3" s="7" t="str">
        <x:v>US organic project, 2026-08-04. Positions shown as 101 when outside the top 100.</x:v>
      </x:c>
      <x:c r="E3" s="7" t="str">
        <x:v>US organic project, 2026-08-04. Positions shown as 101 when outside the top 100.</x:v>
      </x:c>
      <x:c r="F3" s="7" t="str">
        <x:v>US organic project, 2026-08-04. Positions shown as 101 when outside the top 100.</x:v>
      </x:c>
      <x:c r="G3" s="7" t="str">
        <x:v>US organic project, 2026-08-04. Positions shown as 101 when outside the top 100.</x:v>
      </x:c>
    </x:row>
    <x:row r="5">
      <x:c r="A5" t="str">
        <x:v>Keyword</x:v>
      </x:c>
      <x:c r="B5" t="str">
        <x:v>Position</x:v>
      </x:c>
      <x:c r="C5" t="str">
        <x:v>Volume</x:v>
      </x:c>
      <x:c r="D5" t="str">
        <x:v>CPC</x:v>
      </x:c>
      <x:c r="E5" t="str">
        <x:v>Position change</x:v>
      </x:c>
      <x:c r="F5" t="str">
        <x:v>Landing page</x:v>
      </x:c>
      <x:c r="G5" t="str">
        <x:v>Date</x:v>
      </x:c>
    </x:row>
    <x:row r="6">
      <x:c r="A6" t="str">
        <x:v>auto repair marketing agency</x:v>
      </x:c>
      <x:c r="B6" s="13" t="n">
        <x:v>19</x:v>
      </x:c>
      <x:c r="C6" s="13" t="n">
        <x:v>30</x:v>
      </x:c>
      <x:c r="D6" s="14" t="n">
        <x:v>3.82</x:v>
      </x:c>
      <x:c r="E6" t="n">
        <x:v>8</x:v>
      </x:c>
      <x:c r="F6" t="str">
        <x:v>https://www.turnkeyautomarketing.com/</x:v>
      </x:c>
      <x:c r="G6" t="str">
        <x:v>2026-08-04</x:v>
      </x:c>
    </x:row>
    <x:row r="7">
      <x:c r="A7" t="str">
        <x:v>auto repair marketing</x:v>
      </x:c>
      <x:c r="B7" s="13" t="n">
        <x:v>101</x:v>
      </x:c>
      <x:c r="C7" s="13" t="n">
        <x:v>260</x:v>
      </x:c>
      <x:c r="D7" s="14" t="n">
        <x:v>7.7</x:v>
      </x:c>
      <x:c r="E7" t="n">
        <x:v>0</x:v>
      </x:c>
      <x:c r="F7" t="str">
        <x:v>https://www.turnkeyautomarketing.com/resources</x:v>
      </x:c>
      <x:c r="G7" t="str">
        <x:v>2026-08-04</x:v>
      </x:c>
    </x:row>
    <x:row r="8">
      <x:c r="A8" t="str">
        <x:v>auto repair shop marketing</x:v>
      </x:c>
      <x:c r="B8" s="13" t="n">
        <x:v>101</x:v>
      </x:c>
      <x:c r="C8" s="13" t="n">
        <x:v>590</x:v>
      </x:c>
      <x:c r="D8" s="14" t="n">
        <x:v>7.7</x:v>
      </x:c>
      <x:c r="E8" t="n">
        <x:v>0</x:v>
      </x:c>
      <x:c r="F8" t="str">
        <x:v>https://www.turnkeyautomarketing.com/resources</x:v>
      </x:c>
      <x:c r="G8" t="str">
        <x:v>2026-08-04</x:v>
      </x:c>
    </x:row>
    <x:row r="9">
      <x:c r="A9" t="str">
        <x:v>marketing for auto repair shops</x:v>
      </x:c>
      <x:c r="B9" s="13" t="n">
        <x:v>101</x:v>
      </x:c>
      <x:c r="C9" s="13" t="n">
        <x:v>590</x:v>
      </x:c>
      <x:c r="D9" s="14" t="n">
        <x:v>7.7</x:v>
      </x:c>
      <x:c r="E9" t="n">
        <x:v>0</x:v>
      </x:c>
      <x:c r="F9" t="str">
        <x:v>https://www.turnkeyautomarketing.com/resources</x:v>
      </x:c>
      <x:c r="G9" t="str">
        <x:v>2026-08-04</x:v>
      </x:c>
    </x:row>
    <x:row r="10">
      <x:c r="A10" t="str">
        <x:v>auto shop marketing agency</x:v>
      </x:c>
      <x:c r="B10" s="13" t="n">
        <x:v>20</x:v>
      </x:c>
      <x:c r="C10" s="13" t="n">
        <x:v>0</x:v>
      </x:c>
      <x:c r="D10" s="14" t="n">
        <x:v>0</x:v>
      </x:c>
      <x:c r="E10" t="n">
        <x:v>-1</x:v>
      </x:c>
      <x:c r="F10" t="str">
        <x:v>https://www.turnkeyautomarketing.com/</x:v>
      </x:c>
      <x:c r="G10" t="str">
        <x:v>2026-08-04</x:v>
      </x:c>
    </x:row>
    <x:row r="11">
      <x:c r="A11" t="str">
        <x:v>auto repair marketing company</x:v>
      </x:c>
      <x:c r="B11" s="13" t="n">
        <x:v>21</x:v>
      </x:c>
      <x:c r="C11" s="13" t="n">
        <x:v>0</x:v>
      </x:c>
      <x:c r="D11" s="14" t="n">
        <x:v>0</x:v>
      </x:c>
      <x:c r="E11" t="n">
        <x:v>1</x:v>
      </x:c>
      <x:c r="F11" t="str">
        <x:v>https://www.turnkeyautomarketing.com/</x:v>
      </x:c>
      <x:c r="G11" t="str">
        <x:v>2026-08-04</x:v>
      </x:c>
    </x:row>
    <x:row r="12">
      <x:c r="A12" t="str">
        <x:v>auto repair marketing services</x:v>
      </x:c>
      <x:c r="B12" s="13" t="n">
        <x:v>22</x:v>
      </x:c>
      <x:c r="C12" s="13" t="n">
        <x:v>0</x:v>
      </x:c>
      <x:c r="D12" s="14" t="n">
        <x:v>0</x:v>
      </x:c>
      <x:c r="E12" t="n">
        <x:v>0</x:v>
      </x:c>
      <x:c r="F12" t="str">
        <x:v>https://www.turnkeyautomarketing.com/</x:v>
      </x:c>
      <x:c r="G12" t="str">
        <x:v>2026-08-04</x:v>
      </x:c>
    </x:row>
    <x:row r="13">
      <x:c r="A13" t="str">
        <x:v>digital marketing for auto repair shops</x:v>
      </x:c>
      <x:c r="B13" s="13" t="n">
        <x:v>50</x:v>
      </x:c>
      <x:c r="C13" s="13" t="n">
        <x:v>90</x:v>
      </x:c>
      <x:c r="D13" s="14" t="n">
        <x:v>10.49</x:v>
      </x:c>
      <x:c r="E13" t="n">
        <x:v>3</x:v>
      </x:c>
      <x:c r="F13" t="str">
        <x:v>https://www.turnkeyautomarketing.com/services/digital-marketing</x:v>
      </x:c>
      <x:c r="G13" t="str">
        <x:v>2026-08-04</x:v>
      </x:c>
    </x:row>
    <x:row r="14">
      <x:c r="A14" t="str">
        <x:v>auto repair shop marketing company</x:v>
      </x:c>
      <x:c r="B14" s="13" t="n">
        <x:v>19</x:v>
      </x:c>
      <x:c r="C14" s="13" t="n">
        <x:v>0</x:v>
      </x:c>
      <x:c r="D14" s="14" t="n">
        <x:v>0</x:v>
      </x:c>
      <x:c r="E14" t="n">
        <x:v>1</x:v>
      </x:c>
      <x:c r="F14" t="str">
        <x:v>https://www.turnkeyautomarketing.com/</x:v>
      </x:c>
      <x:c r="G14" t="str">
        <x:v>2026-08-04</x:v>
      </x:c>
    </x:row>
    <x:row r="15">
      <x:c r="A15" t="str">
        <x:v>mechanic shop marketing</x:v>
      </x:c>
      <x:c r="B15" s="13" t="n">
        <x:v>101</x:v>
      </x:c>
      <x:c r="C15" s="13" t="n">
        <x:v>0</x:v>
      </x:c>
      <x:c r="D15" s="14" t="n">
        <x:v>0</x:v>
      </x:c>
      <x:c r="E15" t="n">
        <x:v>0</x:v>
      </x:c>
      <x:c r="F15" t="str">
        <x:v>https://www.turnkeyautomarketing.com/resources</x:v>
      </x:c>
      <x:c r="G15" t="str">
        <x:v>2026-08-04</x:v>
      </x:c>
    </x:row>
    <x:row r="16">
      <x:c r="A16" t="str">
        <x:v>marketing agency for auto repair shops</x:v>
      </x:c>
      <x:c r="B16" s="13" t="n">
        <x:v>24</x:v>
      </x:c>
      <x:c r="C16" s="13" t="n">
        <x:v>0</x:v>
      </x:c>
      <x:c r="D16" s="14" t="n">
        <x:v>0</x:v>
      </x:c>
      <x:c r="E16" t="n">
        <x:v>-5</x:v>
      </x:c>
      <x:c r="F16" t="str">
        <x:v>https://www.turnkeyautomarketing.com/</x:v>
      </x:c>
      <x:c r="G16" t="str">
        <x:v>2026-08-04</x:v>
      </x:c>
    </x:row>
    <x:row r="17">
      <x:c r="A17" t="str">
        <x:v>best auto repair marketing agency</x:v>
      </x:c>
      <x:c r="B17" s="13" t="n">
        <x:v>35</x:v>
      </x:c>
      <x:c r="C17" s="13" t="n">
        <x:v>0</x:v>
      </x:c>
      <x:c r="D17" s="14" t="n">
        <x:v>0</x:v>
      </x:c>
      <x:c r="E17" t="n">
        <x:v>-3</x:v>
      </x:c>
      <x:c r="F17" t="str">
        <x:v>https://www.turnkeyautomarketing.com/</x:v>
      </x:c>
      <x:c r="G17" t="str">
        <x:v>2026-08-04</x:v>
      </x:c>
    </x:row>
    <x:row r="18">
      <x:c r="A18" t="str">
        <x:v>auto repair marketing consultant</x:v>
      </x:c>
      <x:c r="B18" s="13" t="n">
        <x:v>20</x:v>
      </x:c>
      <x:c r="C18" s="13" t="n">
        <x:v>0</x:v>
      </x:c>
      <x:c r="D18" s="14" t="n">
        <x:v>0</x:v>
      </x:c>
      <x:c r="E18" t="n">
        <x:v>-1</x:v>
      </x:c>
      <x:c r="F18" t="str">
        <x:v>https://www.turnkeyautomarketing.com/</x:v>
      </x:c>
      <x:c r="G18" t="str">
        <x:v>2026-08-04</x:v>
      </x:c>
    </x:row>
    <x:row r="19">
      <x:c r="A19" t="str">
        <x:v>auto shop marketing consultant</x:v>
      </x:c>
      <x:c r="B19" s="13" t="n">
        <x:v>17</x:v>
      </x:c>
      <x:c r="C19" s="13" t="n">
        <x:v>0</x:v>
      </x:c>
      <x:c r="D19" s="14" t="n">
        <x:v>0</x:v>
      </x:c>
      <x:c r="E19" t="n">
        <x:v>-2</x:v>
      </x:c>
      <x:c r="F19" t="str">
        <x:v>https://www.turnkeyautomarketing.com/</x:v>
      </x:c>
      <x:c r="G19" t="str">
        <x:v>2026-08-04</x:v>
      </x:c>
    </x:row>
    <x:row r="20">
      <x:c r="A20" t="str">
        <x:v>automotive repair marketing</x:v>
      </x:c>
      <x:c r="B20" s="13" t="n">
        <x:v>101</x:v>
      </x:c>
      <x:c r="C20" s="13" t="n">
        <x:v>260</x:v>
      </x:c>
      <x:c r="D20" s="14" t="n">
        <x:v>7.7</x:v>
      </x:c>
      <x:c r="E20" t="n">
        <x:v>0</x:v>
      </x:c>
      <x:c r="F20" t="str">
        <x:v>https://www.turnkeyautomarketing.com/resources</x:v>
      </x:c>
      <x:c r="G20" t="str">
        <x:v>2026-08-04</x:v>
      </x:c>
    </x:row>
    <x:row r="21">
      <x:c r="A21" t="str">
        <x:v>auto repair marketing strategy</x:v>
      </x:c>
      <x:c r="B21" s="13" t="n">
        <x:v>23</x:v>
      </x:c>
      <x:c r="C21" s="13" t="n">
        <x:v>140</x:v>
      </x:c>
      <x:c r="D21" s="14" t="n">
        <x:v>4.83</x:v>
      </x:c>
      <x:c r="E21" t="n">
        <x:v>0</x:v>
      </x:c>
      <x:c r="F21" t="str">
        <x:v>https://www.turnkeyautomarketing.com/resources/auto-repair-marketing-plan</x:v>
      </x:c>
      <x:c r="G21" t="str">
        <x:v>2026-08-04</x:v>
      </x:c>
    </x:row>
    <x:row r="22">
      <x:c r="A22" t="str">
        <x:v>auto repair marketing plan</x:v>
      </x:c>
      <x:c r="B22" s="13" t="n">
        <x:v>18</x:v>
      </x:c>
      <x:c r="C22" s="13" t="n">
        <x:v>110</x:v>
      </x:c>
      <x:c r="D22" s="14" t="n">
        <x:v>0</x:v>
      </x:c>
      <x:c r="E22" t="n">
        <x:v>-5</x:v>
      </x:c>
      <x:c r="F22" t="str">
        <x:v>https://www.turnkeyautomarketing.com/resources/auto-repair-marketing-plan</x:v>
      </x:c>
      <x:c r="G22" t="str">
        <x:v>2026-08-04</x:v>
      </x:c>
    </x:row>
    <x:row r="23">
      <x:c r="A23" t="str">
        <x:v>auto repair shop marketing plan</x:v>
      </x:c>
      <x:c r="B23" s="13" t="n">
        <x:v>30</x:v>
      </x:c>
      <x:c r="C23" s="13" t="n">
        <x:v>110</x:v>
      </x:c>
      <x:c r="D23" s="14" t="n">
        <x:v>0</x:v>
      </x:c>
      <x:c r="E23" t="n">
        <x:v>2</x:v>
      </x:c>
      <x:c r="F23" t="str">
        <x:v>https://www.turnkeyautomarketing.com/resources/auto-repair-marketing-plan</x:v>
      </x:c>
      <x:c r="G23" t="str">
        <x:v>2026-08-04</x:v>
      </x:c>
    </x:row>
    <x:row r="24">
      <x:c r="A24" t="str">
        <x:v>marketing audit for auto repair shop</x:v>
      </x:c>
      <x:c r="B24" s="13" t="n">
        <x:v>19</x:v>
      </x:c>
      <x:c r="C24" s="13" t="n">
        <x:v>0</x:v>
      </x:c>
      <x:c r="D24" s="14" t="n">
        <x:v>0</x:v>
      </x:c>
      <x:c r="E24" t="n">
        <x:v>-2</x:v>
      </x:c>
      <x:c r="F24" t="str">
        <x:v>https://www.turnkeyautomarketing.com/resources/auto-repair-marketing-plan</x:v>
      </x:c>
      <x:c r="G24" t="str">
        <x:v>2026-08-04</x:v>
      </x:c>
    </x:row>
    <x:row r="25">
      <x:c r="A25" t="str">
        <x:v>auto repair marketing audit</x:v>
      </x:c>
      <x:c r="B25" s="13" t="n">
        <x:v>101</x:v>
      </x:c>
      <x:c r="C25" s="13" t="n">
        <x:v>0</x:v>
      </x:c>
      <x:c r="D25" s="14" t="n">
        <x:v>0</x:v>
      </x:c>
      <x:c r="E25" t="n">
        <x:v>0</x:v>
      </x:c>
      <x:c r="F25" t="str">
        <x:v>https://www.turnkeyautomarketing.com/resources</x:v>
      </x:c>
      <x:c r="G25" t="str">
        <x:v>2026-08-04</x:v>
      </x:c>
    </x:row>
    <x:row r="26">
      <x:c r="A26" t="str">
        <x:v>marketing director for auto repair shops</x:v>
      </x:c>
      <x:c r="B26" s="13" t="n">
        <x:v>101</x:v>
      </x:c>
      <x:c r="C26" s="13" t="n">
        <x:v>0</x:v>
      </x:c>
      <x:c r="D26" s="14" t="n">
        <x:v>0</x:v>
      </x:c>
      <x:c r="E26" t="n">
        <x:v>0</x:v>
      </x:c>
      <x:c r="F26" t="str">
        <x:v>https://www.turnkeyautomarketing.com/resources</x:v>
      </x:c>
      <x:c r="G26" t="str">
        <x:v>2026-08-04</x:v>
      </x:c>
    </x:row>
    <x:row r="27">
      <x:c r="A27" t="str">
        <x:v>auto repair marketing director</x:v>
      </x:c>
      <x:c r="B27" s="13" t="n">
        <x:v>10</x:v>
      </x:c>
      <x:c r="C27" s="13" t="n">
        <x:v>0</x:v>
      </x:c>
      <x:c r="D27" s="14" t="n">
        <x:v>0</x:v>
      </x:c>
      <x:c r="E27" t="n">
        <x:v>11</x:v>
      </x:c>
      <x:c r="F27" t="str">
        <x:v>https://www.turnkeyautomarketing.com/services/vip-marketing-manager</x:v>
      </x:c>
      <x:c r="G27" t="str">
        <x:v>2026-08-04</x:v>
      </x:c>
    </x:row>
    <x:row r="28">
      <x:c r="A28" t="str">
        <x:v>outsourced marketing director auto repair</x:v>
      </x:c>
      <x:c r="B28" s="13" t="n">
        <x:v>4</x:v>
      </x:c>
      <x:c r="C28" s="13" t="n">
        <x:v>0</x:v>
      </x:c>
      <x:c r="D28" s="14" t="n">
        <x:v>0</x:v>
      </x:c>
      <x:c r="E28" t="n">
        <x:v>0</x:v>
      </x:c>
      <x:c r="F28" t="str">
        <x:v>https://www.turnkeyautomarketing.com/</x:v>
      </x:c>
      <x:c r="G28" t="str">
        <x:v>2026-08-04</x:v>
      </x:c>
    </x:row>
    <x:row r="29">
      <x:c r="A29" t="str">
        <x:v>fractional marketing director auto repair</x:v>
      </x:c>
      <x:c r="B29" s="13" t="n">
        <x:v>101</x:v>
      </x:c>
      <x:c r="C29" s="13" t="n">
        <x:v>0</x:v>
      </x:c>
      <x:c r="D29" s="14" t="n">
        <x:v>0</x:v>
      </x:c>
      <x:c r="E29" t="n">
        <x:v>0</x:v>
      </x:c>
      <x:c r="F29" t="str"/>
      <x:c r="G29" t="str">
        <x:v>2026-08-04</x:v>
      </x:c>
    </x:row>
    <x:row r="30">
      <x:c r="A30" t="str">
        <x:v>fractional CMO for auto repair shop</x:v>
      </x:c>
      <x:c r="B30" s="13" t="n">
        <x:v>101</x:v>
      </x:c>
      <x:c r="C30" s="13" t="n">
        <x:v>0</x:v>
      </x:c>
      <x:c r="D30" s="14" t="n">
        <x:v>0</x:v>
      </x:c>
      <x:c r="E30" t="n">
        <x:v>0</x:v>
      </x:c>
      <x:c r="F30" t="str">
        <x:v>https://www.turnkeyautomarketing.com/resources</x:v>
      </x:c>
      <x:c r="G30" t="str">
        <x:v>2026-08-04</x:v>
      </x:c>
    </x:row>
    <x:row r="31">
      <x:c r="A31" t="str">
        <x:v>done for you auto repair marketing</x:v>
      </x:c>
      <x:c r="B31" s="13" t="n">
        <x:v>101</x:v>
      </x:c>
      <x:c r="C31" s="13" t="n">
        <x:v>0</x:v>
      </x:c>
      <x:c r="D31" s="14" t="n">
        <x:v>0</x:v>
      </x:c>
      <x:c r="E31" t="n">
        <x:v>0</x:v>
      </x:c>
      <x:c r="F31" t="str">
        <x:v>https://www.turnkeyautomarketing.com/resources/auto-repair-marketing-plan</x:v>
      </x:c>
      <x:c r="G31" t="str">
        <x:v>2026-08-04</x:v>
      </x:c>
    </x:row>
    <x:row r="32">
      <x:c r="A32" t="str">
        <x:v>outsourced marketing for auto repair shops</x:v>
      </x:c>
      <x:c r="B32" s="13" t="n">
        <x:v>38</x:v>
      </x:c>
      <x:c r="C32" s="13" t="n">
        <x:v>0</x:v>
      </x:c>
      <x:c r="D32" s="14" t="n">
        <x:v>0</x:v>
      </x:c>
      <x:c r="E32" t="n">
        <x:v>-18</x:v>
      </x:c>
      <x:c r="F32" t="str">
        <x:v>https://www.turnkeyautomarketing.com/resources/auto-repair-marketing-plan</x:v>
      </x:c>
      <x:c r="G32" t="str">
        <x:v>2026-08-04</x:v>
      </x:c>
    </x:row>
    <x:row r="33">
      <x:c r="A33" t="str">
        <x:v>auto repair lead generation</x:v>
      </x:c>
      <x:c r="B33" s="13" t="n">
        <x:v>101</x:v>
      </x:c>
      <x:c r="C33" s="13" t="n">
        <x:v>50</x:v>
      </x:c>
      <x:c r="D33" s="14" t="n">
        <x:v>0</x:v>
      </x:c>
      <x:c r="E33" t="n">
        <x:v>0</x:v>
      </x:c>
      <x:c r="F33" t="str">
        <x:v>https://www.turnkeyautomarketing.com/resources</x:v>
      </x:c>
      <x:c r="G33" t="str">
        <x:v>2026-08-04</x:v>
      </x:c>
    </x:row>
    <x:row r="34">
      <x:c r="A34" t="str">
        <x:v>auto repair shop lead generation</x:v>
      </x:c>
      <x:c r="B34" s="13" t="n">
        <x:v>101</x:v>
      </x:c>
      <x:c r="C34" s="13" t="n">
        <x:v>0</x:v>
      </x:c>
      <x:c r="D34" s="14" t="n">
        <x:v>0</x:v>
      </x:c>
      <x:c r="E34" t="n">
        <x:v>0</x:v>
      </x:c>
      <x:c r="F34" t="str">
        <x:v>https://www.turnkeyautomarketing.com/resources</x:v>
      </x:c>
      <x:c r="G34" t="str">
        <x:v>2026-08-04</x:v>
      </x:c>
    </x:row>
    <x:row r="35">
      <x:c r="A35" t="str">
        <x:v>mechanic shop lead generation</x:v>
      </x:c>
      <x:c r="B35" s="13" t="n">
        <x:v>101</x:v>
      </x:c>
      <x:c r="C35" s="13" t="n">
        <x:v>0</x:v>
      </x:c>
      <x:c r="D35" s="14" t="n">
        <x:v>0</x:v>
      </x:c>
      <x:c r="E35" t="n">
        <x:v>0</x:v>
      </x:c>
      <x:c r="F35" t="str">
        <x:v>https://www.turnkeyautomarketing.com/resources</x:v>
      </x:c>
      <x:c r="G35" t="str">
        <x:v>2026-08-04</x:v>
      </x:c>
    </x:row>
    <x:row r="36">
      <x:c r="A36" t="str">
        <x:v>increase car count</x:v>
      </x:c>
      <x:c r="B36" s="13" t="n">
        <x:v>101</x:v>
      </x:c>
      <x:c r="C36" s="13" t="n">
        <x:v>10</x:v>
      </x:c>
      <x:c r="D36" s="14" t="n">
        <x:v>0</x:v>
      </x:c>
      <x:c r="E36" t="n">
        <x:v>0</x:v>
      </x:c>
      <x:c r="F36" t="str"/>
      <x:c r="G36" t="str">
        <x:v>2026-08-04</x:v>
      </x:c>
    </x:row>
    <x:row r="37">
      <x:c r="A37" t="str">
        <x:v>increase car count auto repair</x:v>
      </x:c>
      <x:c r="B37" s="13" t="n">
        <x:v>101</x:v>
      </x:c>
      <x:c r="C37" s="13" t="n">
        <x:v>0</x:v>
      </x:c>
      <x:c r="D37" s="14" t="n">
        <x:v>0</x:v>
      </x:c>
      <x:c r="E37" t="n">
        <x:v>0</x:v>
      </x:c>
      <x:c r="F37" t="str"/>
      <x:c r="G37" t="str">
        <x:v>2026-08-04</x:v>
      </x:c>
    </x:row>
    <x:row r="38">
      <x:c r="A38" t="str">
        <x:v>how to increase car count</x:v>
      </x:c>
      <x:c r="B38" s="13" t="n">
        <x:v>101</x:v>
      </x:c>
      <x:c r="C38" s="13" t="n">
        <x:v>10</x:v>
      </x:c>
      <x:c r="D38" s="14" t="n">
        <x:v>0</x:v>
      </x:c>
      <x:c r="E38" t="n">
        <x:v>0</x:v>
      </x:c>
      <x:c r="F38" t="str"/>
      <x:c r="G38" t="str">
        <x:v>2026-08-04</x:v>
      </x:c>
    </x:row>
    <x:row r="39">
      <x:c r="A39" t="str">
        <x:v>how to get more auto repair customers</x:v>
      </x:c>
      <x:c r="B39" s="13" t="n">
        <x:v>73</x:v>
      </x:c>
      <x:c r="C39" s="13" t="n">
        <x:v>0</x:v>
      </x:c>
      <x:c r="D39" s="14" t="n">
        <x:v>0</x:v>
      </x:c>
      <x:c r="E39" t="n">
        <x:v>-5</x:v>
      </x:c>
      <x:c r="F39" t="str">
        <x:v>https://www.turnkeyautomarketing.com/resources/ideal-customer-profile-auto-repair-shop</x:v>
      </x:c>
      <x:c r="G39" t="str">
        <x:v>2026-08-04</x:v>
      </x:c>
    </x:row>
    <x:row r="40">
      <x:c r="A40" t="str">
        <x:v>how to grow an auto repair shop</x:v>
      </x:c>
      <x:c r="B40" s="13" t="n">
        <x:v>101</x:v>
      </x:c>
      <x:c r="C40" s="13" t="n">
        <x:v>10</x:v>
      </x:c>
      <x:c r="D40" s="14" t="n">
        <x:v>0</x:v>
      </x:c>
      <x:c r="E40" t="n">
        <x:v>0</x:v>
      </x:c>
      <x:c r="F40" t="str"/>
      <x:c r="G40" t="str">
        <x:v>2026-08-04</x:v>
      </x:c>
    </x:row>
    <x:row r="41">
      <x:c r="A41" t="str">
        <x:v>auto repair SEO</x:v>
      </x:c>
      <x:c r="B41" s="13" t="n">
        <x:v>101</x:v>
      </x:c>
      <x:c r="C41" s="13" t="n">
        <x:v>170</x:v>
      </x:c>
      <x:c r="D41" s="14" t="n">
        <x:v>17</x:v>
      </x:c>
      <x:c r="E41" t="n">
        <x:v>0</x:v>
      </x:c>
      <x:c r="F41" t="str"/>
      <x:c r="G41" t="str">
        <x:v>2026-08-04</x:v>
      </x:c>
    </x:row>
    <x:row r="42">
      <x:c r="A42" t="str">
        <x:v>auto repair shop SEO</x:v>
      </x:c>
      <x:c r="B42" s="13" t="n">
        <x:v>101</x:v>
      </x:c>
      <x:c r="C42" s="13" t="n">
        <x:v>480</x:v>
      </x:c>
      <x:c r="D42" s="14" t="n">
        <x:v>12.64</x:v>
      </x:c>
      <x:c r="E42" t="n">
        <x:v>0</x:v>
      </x:c>
      <x:c r="F42" t="str"/>
      <x:c r="G42" t="str">
        <x:v>2026-08-04</x:v>
      </x:c>
    </x:row>
    <x:row r="43">
      <x:c r="A43" t="str">
        <x:v>SEO for auto repair shops</x:v>
      </x:c>
      <x:c r="B43" s="13" t="n">
        <x:v>101</x:v>
      </x:c>
      <x:c r="C43" s="13" t="n">
        <x:v>480</x:v>
      </x:c>
      <x:c r="D43" s="14" t="n">
        <x:v>12.64</x:v>
      </x:c>
      <x:c r="E43" t="n">
        <x:v>0</x:v>
      </x:c>
      <x:c r="F43" t="str"/>
      <x:c r="G43" t="str">
        <x:v>2026-08-04</x:v>
      </x:c>
    </x:row>
    <x:row r="44">
      <x:c r="A44" t="str">
        <x:v>local SEO for auto repair shops</x:v>
      </x:c>
      <x:c r="B44" s="13" t="n">
        <x:v>101</x:v>
      </x:c>
      <x:c r="C44" s="13" t="n">
        <x:v>90</x:v>
      </x:c>
      <x:c r="D44" s="14" t="n">
        <x:v>0</x:v>
      </x:c>
      <x:c r="E44" t="n">
        <x:v>0</x:v>
      </x:c>
      <x:c r="F44" t="str"/>
      <x:c r="G44" t="str">
        <x:v>2026-08-04</x:v>
      </x:c>
    </x:row>
    <x:row r="45">
      <x:c r="A45" t="str">
        <x:v>auto repair Google Ads</x:v>
      </x:c>
      <x:c r="B45" s="13" t="n">
        <x:v>101</x:v>
      </x:c>
      <x:c r="C45" s="13" t="n">
        <x:v>0</x:v>
      </x:c>
      <x:c r="D45" s="14" t="n">
        <x:v>0</x:v>
      </x:c>
      <x:c r="E45" t="n">
        <x:v>0</x:v>
      </x:c>
      <x:c r="F45" t="str"/>
      <x:c r="G45" t="str">
        <x:v>2026-08-04</x:v>
      </x:c>
    </x:row>
    <x:row r="46">
      <x:c r="A46" t="str">
        <x:v>Google Ads for auto repair shops</x:v>
      </x:c>
      <x:c r="B46" s="13" t="n">
        <x:v>101</x:v>
      </x:c>
      <x:c r="C46" s="13" t="n">
        <x:v>110</x:v>
      </x:c>
      <x:c r="D46" s="14" t="n">
        <x:v>7.57</x:v>
      </x:c>
      <x:c r="E46" t="n">
        <x:v>0</x:v>
      </x:c>
      <x:c r="F46" t="str"/>
      <x:c r="G46" t="str">
        <x:v>2026-08-04</x:v>
      </x:c>
    </x:row>
    <x:row r="47">
      <x:c r="A47" t="str">
        <x:v>auto repair PPC</x:v>
      </x:c>
      <x:c r="B47" s="13" t="n">
        <x:v>101</x:v>
      </x:c>
      <x:c r="C47" s="13" t="n">
        <x:v>20</x:v>
      </x:c>
      <x:c r="D47" s="14" t="n">
        <x:v>0</x:v>
      </x:c>
      <x:c r="E47" t="n">
        <x:v>0</x:v>
      </x:c>
      <x:c r="F47" t="str">
        <x:v>https://www.turnkeyautomarketing.com/resources</x:v>
      </x:c>
      <x:c r="G47" t="str">
        <x:v>2026-08-04</x:v>
      </x:c>
    </x:row>
    <x:row r="48">
      <x:c r="A48" t="str">
        <x:v>PPC for auto repair shops</x:v>
      </x:c>
      <x:c r="B48" s="13" t="n">
        <x:v>101</x:v>
      </x:c>
      <x:c r="C48" s="13" t="n">
        <x:v>0</x:v>
      </x:c>
      <x:c r="D48" s="14" t="n">
        <x:v>0</x:v>
      </x:c>
      <x:c r="E48" t="n">
        <x:v>0</x:v>
      </x:c>
      <x:c r="F48" t="str">
        <x:v>https://www.turnkeyautomarketing.com/resources</x:v>
      </x:c>
      <x:c r="G48" t="str">
        <x:v>2026-08-04</x:v>
      </x:c>
    </x:row>
    <x:row r="49">
      <x:c r="A49" t="str">
        <x:v>auto repair Facebook ads</x:v>
      </x:c>
      <x:c r="B49" s="13" t="n">
        <x:v>101</x:v>
      </x:c>
      <x:c r="C49" s="13" t="n">
        <x:v>40</x:v>
      </x:c>
      <x:c r="D49" s="14" t="n">
        <x:v>0</x:v>
      </x:c>
      <x:c r="E49" t="n">
        <x:v>0</x:v>
      </x:c>
      <x:c r="F49" t="str"/>
      <x:c r="G49" t="str">
        <x:v>2026-08-04</x:v>
      </x:c>
    </x:row>
    <x:row r="50">
      <x:c r="A50" t="str">
        <x:v>Facebook ads for auto repair shops</x:v>
      </x:c>
      <x:c r="B50" s="13" t="n">
        <x:v>101</x:v>
      </x:c>
      <x:c r="C50" s="13" t="n">
        <x:v>50</x:v>
      </x:c>
      <x:c r="D50" s="14" t="n">
        <x:v>0</x:v>
      </x:c>
      <x:c r="E50" t="n">
        <x:v>0</x:v>
      </x:c>
      <x:c r="F50" t="str"/>
      <x:c r="G50" t="str">
        <x:v>2026-08-04</x:v>
      </x:c>
    </x:row>
    <x:row r="51">
      <x:c r="A51" t="str">
        <x:v>auto repair social media marketing</x:v>
      </x:c>
      <x:c r="B51" s="13" t="n">
        <x:v>101</x:v>
      </x:c>
      <x:c r="C51" s="13" t="n">
        <x:v>20</x:v>
      </x:c>
      <x:c r="D51" s="14" t="n">
        <x:v>0</x:v>
      </x:c>
      <x:c r="E51" t="n">
        <x:v>0</x:v>
      </x:c>
      <x:c r="F51" t="str">
        <x:v>https://www.turnkeyautomarketing.com/services/social-media-marketing</x:v>
      </x:c>
      <x:c r="G51" t="str">
        <x:v>2026-08-04</x:v>
      </x:c>
    </x:row>
    <x:row r="52">
      <x:c r="A52" t="str">
        <x:v>social media for auto repair shops</x:v>
      </x:c>
      <x:c r="B52" s="13" t="n">
        <x:v>41</x:v>
      </x:c>
      <x:c r="C52" s="13" t="n">
        <x:v>20</x:v>
      </x:c>
      <x:c r="D52" s="14" t="n">
        <x:v>0</x:v>
      </x:c>
      <x:c r="E52" t="n">
        <x:v>-9</x:v>
      </x:c>
      <x:c r="F52" t="str">
        <x:v>https://www.turnkeyautomarketing.com/services/social-media-marketing</x:v>
      </x:c>
      <x:c r="G52" t="str">
        <x:v>2026-08-04</x:v>
      </x:c>
    </x:row>
    <x:row r="53">
      <x:c r="A53" t="str">
        <x:v>auto repair direct mail</x:v>
      </x:c>
      <x:c r="B53" s="13" t="n">
        <x:v>25</x:v>
      </x:c>
      <x:c r="C53" s="13" t="n">
        <x:v>30</x:v>
      </x:c>
      <x:c r="D53" s="14" t="n">
        <x:v>0</x:v>
      </x:c>
      <x:c r="E53" t="n">
        <x:v>1</x:v>
      </x:c>
      <x:c r="F53" t="str">
        <x:v>https://www.turnkeyautomarketing.com/services/direct-mail</x:v>
      </x:c>
      <x:c r="G53" t="str">
        <x:v>2026-08-04</x:v>
      </x:c>
    </x:row>
    <x:row r="54">
      <x:c r="A54" t="str">
        <x:v>direct mail for auto repair shops</x:v>
      </x:c>
      <x:c r="B54" s="13" t="n">
        <x:v>27</x:v>
      </x:c>
      <x:c r="C54" s="13" t="n">
        <x:v>10</x:v>
      </x:c>
      <x:c r="D54" s="14" t="n">
        <x:v>0</x:v>
      </x:c>
      <x:c r="E54" t="n">
        <x:v>-1</x:v>
      </x:c>
      <x:c r="F54" t="str">
        <x:v>https://www.turnkeyautomarketing.com/resources/direct-mail-for-repair-shops</x:v>
      </x:c>
      <x:c r="G54" t="str">
        <x:v>2026-08-04</x:v>
      </x:c>
    </x:row>
    <x:row r="55">
      <x:c r="A55" t="str">
        <x:v>automotive repair shop marketing</x:v>
      </x:c>
      <x:c r="B55" s="13" t="n">
        <x:v>56</x:v>
      </x:c>
      <x:c r="C55" s="13" t="n">
        <x:v>590</x:v>
      </x:c>
      <x:c r="D55" s="14" t="n">
        <x:v>7.7</x:v>
      </x:c>
      <x:c r="E55" t="n">
        <x:v>44</x:v>
      </x:c>
      <x:c r="F55" t="str">
        <x:v>https://www.turnkeyautomarketing.com/resources</x:v>
      </x:c>
      <x:c r="G55" t="str">
        <x:v>2026-08-04</x:v>
      </x:c>
    </x:row>
    <x:row r="56">
      <x:c r="A56" t="str">
        <x:v>auto shop marketing</x:v>
      </x:c>
      <x:c r="B56" s="13" t="n">
        <x:v>101</x:v>
      </x:c>
      <x:c r="C56" s="13" t="n">
        <x:v>590</x:v>
      </x:c>
      <x:c r="D56" s="14" t="n">
        <x:v>7.7</x:v>
      </x:c>
      <x:c r="E56" t="n">
        <x:v>0</x:v>
      </x:c>
      <x:c r="F56" t="str">
        <x:v>https://www.turnkeyautomarketing.com/resources</x:v>
      </x:c>
      <x:c r="G56" t="str">
        <x:v>2026-08-04</x:v>
      </x:c>
    </x:row>
    <x:row r="57">
      <x:c r="A57" t="str">
        <x:v>car repair shop marketing</x:v>
      </x:c>
      <x:c r="B57" s="13" t="n">
        <x:v>101</x:v>
      </x:c>
      <x:c r="C57" s="13" t="n">
        <x:v>590</x:v>
      </x:c>
      <x:c r="D57" s="14" t="n">
        <x:v>7.7</x:v>
      </x:c>
      <x:c r="E57" t="n">
        <x:v>0</x:v>
      </x:c>
      <x:c r="F57" t="str">
        <x:v>https://www.turnkeyautomarketing.com/resources</x:v>
      </x:c>
      <x:c r="G57" t="str">
        <x:v>2026-08-04</x:v>
      </x:c>
    </x:row>
    <x:row r="58">
      <x:c r="A58" t="str">
        <x:v>marketing for auto repair</x:v>
      </x:c>
      <x:c r="B58" s="13" t="n">
        <x:v>101</x:v>
      </x:c>
      <x:c r="C58" s="13" t="n">
        <x:v>590</x:v>
      </x:c>
      <x:c r="D58" s="14" t="n">
        <x:v>7.7</x:v>
      </x:c>
      <x:c r="E58" t="n">
        <x:v>0</x:v>
      </x:c>
      <x:c r="F58" t="str">
        <x:v>https://www.turnkeyautomarketing.com/resources</x:v>
      </x:c>
      <x:c r="G58" t="str">
        <x:v>2026-08-04</x:v>
      </x:c>
    </x:row>
    <x:row r="59">
      <x:c r="A59" t="str">
        <x:v>marketing for auto shops</x:v>
      </x:c>
      <x:c r="B59" s="13" t="n">
        <x:v>101</x:v>
      </x:c>
      <x:c r="C59" s="13" t="n">
        <x:v>0</x:v>
      </x:c>
      <x:c r="D59" s="14" t="n">
        <x:v>0</x:v>
      </x:c>
      <x:c r="E59" t="n">
        <x:v>0</x:v>
      </x:c>
      <x:c r="F59" t="str">
        <x:v>https://www.turnkeyautomarketing.com/resources</x:v>
      </x:c>
      <x:c r="G59" t="str">
        <x:v>2026-08-04</x:v>
      </x:c>
    </x:row>
    <x:row r="60">
      <x:c r="A60" t="str">
        <x:v>marketing for car repair shops</x:v>
      </x:c>
      <x:c r="B60" s="13" t="n">
        <x:v>101</x:v>
      </x:c>
      <x:c r="C60" s="13" t="n">
        <x:v>0</x:v>
      </x:c>
      <x:c r="D60" s="14" t="n">
        <x:v>0</x:v>
      </x:c>
      <x:c r="E60" t="n">
        <x:v>0</x:v>
      </x:c>
      <x:c r="F60" t="str">
        <x:v>https://www.turnkeyautomarketing.com/resources</x:v>
      </x:c>
      <x:c r="G60" t="str">
        <x:v>2026-08-04</x:v>
      </x:c>
    </x:row>
    <x:row r="61">
      <x:c r="A61" t="str">
        <x:v>auto repair business marketing</x:v>
      </x:c>
      <x:c r="B61" s="13" t="n">
        <x:v>101</x:v>
      </x:c>
      <x:c r="C61" s="13" t="n">
        <x:v>70</x:v>
      </x:c>
      <x:c r="D61" s="14" t="n">
        <x:v>0</x:v>
      </x:c>
      <x:c r="E61" t="n">
        <x:v>0</x:v>
      </x:c>
      <x:c r="F61" t="str">
        <x:v>https://www.turnkeyautomarketing.com/resources</x:v>
      </x:c>
      <x:c r="G61" t="str">
        <x:v>2026-08-04</x:v>
      </x:c>
    </x:row>
    <x:row r="62">
      <x:c r="A62" t="str">
        <x:v>auto repair shop business marketing</x:v>
      </x:c>
      <x:c r="B62" s="13" t="n">
        <x:v>101</x:v>
      </x:c>
      <x:c r="C62" s="13" t="n">
        <x:v>0</x:v>
      </x:c>
      <x:c r="D62" s="14" t="n">
        <x:v>0</x:v>
      </x:c>
      <x:c r="E62" t="n">
        <x:v>0</x:v>
      </x:c>
      <x:c r="F62" t="str">
        <x:v>https://www.turnkeyautomarketing.com/resources</x:v>
      </x:c>
      <x:c r="G62" t="str">
        <x:v>2026-08-04</x:v>
      </x:c>
    </x:row>
    <x:row r="63">
      <x:c r="A63" t="str">
        <x:v>automotive business marketing</x:v>
      </x:c>
      <x:c r="B63" s="13" t="n">
        <x:v>101</x:v>
      </x:c>
      <x:c r="C63" s="13" t="n">
        <x:v>10</x:v>
      </x:c>
      <x:c r="D63" s="14" t="n">
        <x:v>0</x:v>
      </x:c>
      <x:c r="E63" t="n">
        <x:v>0</x:v>
      </x:c>
      <x:c r="F63" t="str"/>
      <x:c r="G63" t="str">
        <x:v>2026-08-04</x:v>
      </x:c>
    </x:row>
    <x:row r="64">
      <x:c r="A64" t="str">
        <x:v>marketing an auto repair business</x:v>
      </x:c>
      <x:c r="B64" s="13" t="n">
        <x:v>101</x:v>
      </x:c>
      <x:c r="C64" s="13" t="n">
        <x:v>0</x:v>
      </x:c>
      <x:c r="D64" s="14" t="n">
        <x:v>0</x:v>
      </x:c>
      <x:c r="E64" t="n">
        <x:v>0</x:v>
      </x:c>
      <x:c r="F64" t="str">
        <x:v>https://www.turnkeyautomarketing.com/resources</x:v>
      </x:c>
      <x:c r="G64" t="str">
        <x:v>2026-08-04</x:v>
      </x:c>
    </x:row>
    <x:row r="65">
      <x:c r="A65" t="str">
        <x:v>auto repair shop marketing agency</x:v>
      </x:c>
      <x:c r="B65" s="13" t="n">
        <x:v>22</x:v>
      </x:c>
      <x:c r="C65" s="13" t="n">
        <x:v>0</x:v>
      </x:c>
      <x:c r="D65" s="14" t="n">
        <x:v>0</x:v>
      </x:c>
      <x:c r="E65" t="n">
        <x:v>2</x:v>
      </x:c>
      <x:c r="F65" t="str">
        <x:v>https://www.turnkeyautomarketing.com/</x:v>
      </x:c>
      <x:c r="G65" t="str">
        <x:v>2026-08-04</x:v>
      </x:c>
    </x:row>
    <x:row r="66">
      <x:c r="A66" t="str">
        <x:v>automotive repair shop marketing agency</x:v>
      </x:c>
      <x:c r="B66" s="13" t="n">
        <x:v>21</x:v>
      </x:c>
      <x:c r="C66" s="13" t="n">
        <x:v>0</x:v>
      </x:c>
      <x:c r="D66" s="14" t="n">
        <x:v>0</x:v>
      </x:c>
      <x:c r="E66" t="n">
        <x:v>0</x:v>
      </x:c>
      <x:c r="F66" t="str">
        <x:v>https://www.turnkeyautomarketing.com/</x:v>
      </x:c>
      <x:c r="G66" t="str">
        <x:v>2026-08-04</x:v>
      </x:c>
    </x:row>
    <x:row r="67">
      <x:c r="A67" t="str">
        <x:v>automotive marketing agency</x:v>
      </x:c>
      <x:c r="B67" s="13" t="n">
        <x:v>101</x:v>
      </x:c>
      <x:c r="C67" s="13" t="n">
        <x:v>260</x:v>
      </x:c>
      <x:c r="D67" s="14" t="n">
        <x:v>9.34</x:v>
      </x:c>
      <x:c r="E67" t="n">
        <x:v>0</x:v>
      </x:c>
      <x:c r="F67" t="str"/>
      <x:c r="G67" t="str">
        <x:v>2026-08-04</x:v>
      </x:c>
    </x:row>
    <x:row r="68">
      <x:c r="A68" t="str">
        <x:v>automotive digital marketing agency</x:v>
      </x:c>
      <x:c r="B68" s="13" t="n">
        <x:v>101</x:v>
      </x:c>
      <x:c r="C68" s="13" t="n">
        <x:v>390</x:v>
      </x:c>
      <x:c r="D68" s="14" t="n">
        <x:v>13.52</x:v>
      </x:c>
      <x:c r="E68" t="n">
        <x:v>0</x:v>
      </x:c>
      <x:c r="F68" t="str"/>
      <x:c r="G68" t="str">
        <x:v>2026-08-04</x:v>
      </x:c>
    </x:row>
    <x:row r="69">
      <x:c r="A69" t="str">
        <x:v>auto marketing agency</x:v>
      </x:c>
      <x:c r="B69" s="13" t="n">
        <x:v>101</x:v>
      </x:c>
      <x:c r="C69" s="13" t="n">
        <x:v>260</x:v>
      </x:c>
      <x:c r="D69" s="14" t="n">
        <x:v>9.34</x:v>
      </x:c>
      <x:c r="E69" t="n">
        <x:v>0</x:v>
      </x:c>
      <x:c r="F69" t="str"/>
      <x:c r="G69" t="str">
        <x:v>2026-08-04</x:v>
      </x:c>
    </x:row>
    <x:row r="70">
      <x:c r="A70" t="str">
        <x:v>car repair marketing agency</x:v>
      </x:c>
      <x:c r="B70" s="13" t="n">
        <x:v>21</x:v>
      </x:c>
      <x:c r="C70" s="13" t="n">
        <x:v>0</x:v>
      </x:c>
      <x:c r="D70" s="14" t="n">
        <x:v>0</x:v>
      </x:c>
      <x:c r="E70" t="n">
        <x:v>79</x:v>
      </x:c>
      <x:c r="F70" t="str">
        <x:v>https://www.turnkeyautomarketing.com/</x:v>
      </x:c>
      <x:c r="G70" t="str">
        <x:v>2026-08-04</x:v>
      </x:c>
    </x:row>
    <x:row r="71">
      <x:c r="A71" t="str">
        <x:v>auto repair shop digital marketing</x:v>
      </x:c>
      <x:c r="B71" s="13" t="n">
        <x:v>101</x:v>
      </x:c>
      <x:c r="C71" s="13" t="n">
        <x:v>10</x:v>
      </x:c>
      <x:c r="D71" s="14" t="n">
        <x:v>0</x:v>
      </x:c>
      <x:c r="E71" t="n">
        <x:v>0</x:v>
      </x:c>
      <x:c r="F71" t="str">
        <x:v>https://turnkeyautomarketing.com/services/digital-marketing</x:v>
      </x:c>
      <x:c r="G71" t="str">
        <x:v>2026-08-04</x:v>
      </x:c>
    </x:row>
    <x:row r="72">
      <x:c r="A72" t="str">
        <x:v>auto repair digital marketing</x:v>
      </x:c>
      <x:c r="B72" s="13" t="n">
        <x:v>101</x:v>
      </x:c>
      <x:c r="C72" s="13" t="n">
        <x:v>90</x:v>
      </x:c>
      <x:c r="D72" s="14" t="n">
        <x:v>0</x:v>
      </x:c>
      <x:c r="E72" t="n">
        <x:v>0</x:v>
      </x:c>
      <x:c r="F72" t="str">
        <x:v>https://www.turnkeyautomarketing.com/resources</x:v>
      </x:c>
      <x:c r="G72" t="str">
        <x:v>2026-08-04</x:v>
      </x:c>
    </x:row>
    <x:row r="73">
      <x:c r="A73" t="str">
        <x:v>auto repair shop marketing services</x:v>
      </x:c>
      <x:c r="B73" s="13" t="n">
        <x:v>101</x:v>
      </x:c>
      <x:c r="C73" s="13" t="n">
        <x:v>0</x:v>
      </x:c>
      <x:c r="D73" s="14" t="n">
        <x:v>0</x:v>
      </x:c>
      <x:c r="E73" t="n">
        <x:v>0</x:v>
      </x:c>
      <x:c r="F73" t="str">
        <x:v>https://www.turnkeyautomarketing.com/resources</x:v>
      </x:c>
      <x:c r="G73" t="str">
        <x:v>2026-08-04</x:v>
      </x:c>
    </x:row>
    <x:row r="74">
      <x:c r="A74" t="str">
        <x:v>auto shop marketing services</x:v>
      </x:c>
      <x:c r="B74" s="13" t="n">
        <x:v>101</x:v>
      </x:c>
      <x:c r="C74" s="13" t="n">
        <x:v>0</x:v>
      </x:c>
      <x:c r="D74" s="14" t="n">
        <x:v>0</x:v>
      </x:c>
      <x:c r="E74" t="n">
        <x:v>0</x:v>
      </x:c>
      <x:c r="F74" t="str"/>
      <x:c r="G74" t="str">
        <x:v>2026-08-04</x:v>
      </x:c>
    </x:row>
    <x:row r="75">
      <x:c r="A75" t="str">
        <x:v>automotive marketing services</x:v>
      </x:c>
      <x:c r="B75" s="13" t="n">
        <x:v>101</x:v>
      </x:c>
      <x:c r="C75" s="13" t="n">
        <x:v>210</x:v>
      </x:c>
      <x:c r="D75" s="14" t="n">
        <x:v>0</x:v>
      </x:c>
      <x:c r="E75" t="n">
        <x:v>0</x:v>
      </x:c>
      <x:c r="F75" t="str"/>
      <x:c r="G75" t="str">
        <x:v>2026-08-04</x:v>
      </x:c>
    </x:row>
    <x:row r="76">
      <x:c r="A76" t="str">
        <x:v>seo for auto shops</x:v>
      </x:c>
      <x:c r="B76" s="13" t="n">
        <x:v>101</x:v>
      </x:c>
      <x:c r="C76" s="13" t="n">
        <x:v>390</x:v>
      </x:c>
      <x:c r="D76" s="14" t="n">
        <x:v>9.07</x:v>
      </x:c>
      <x:c r="E76" t="n">
        <x:v>0</x:v>
      </x:c>
      <x:c r="F76" t="str"/>
      <x:c r="G76" t="str">
        <x:v>2026-08-04</x:v>
      </x:c>
    </x:row>
    <x:row r="77">
      <x:c r="A77" t="str">
        <x:v>automotive seo</x:v>
      </x:c>
      <x:c r="B77" s="13" t="n">
        <x:v>101</x:v>
      </x:c>
      <x:c r="C77" s="13" t="n">
        <x:v>80</x:v>
      </x:c>
      <x:c r="D77" s="14" t="n">
        <x:v>6.9</x:v>
      </x:c>
      <x:c r="E77" t="n">
        <x:v>0</x:v>
      </x:c>
      <x:c r="F77" t="str"/>
      <x:c r="G77" t="str">
        <x:v>2026-08-04</x:v>
      </x:c>
    </x:row>
    <x:row r="78">
      <x:c r="A78" t="str">
        <x:v>automotive repair seo</x:v>
      </x:c>
      <x:c r="B78" s="13" t="n">
        <x:v>101</x:v>
      </x:c>
      <x:c r="C78" s="13" t="n">
        <x:v>170</x:v>
      </x:c>
      <x:c r="D78" s="14" t="n">
        <x:v>17</x:v>
      </x:c>
      <x:c r="E78" t="n">
        <x:v>0</x:v>
      </x:c>
      <x:c r="F78" t="str"/>
      <x:c r="G78" t="str">
        <x:v>2026-08-04</x:v>
      </x:c>
    </x:row>
    <x:row r="79">
      <x:c r="A79" t="str">
        <x:v>auto mechanic seo</x:v>
      </x:c>
      <x:c r="B79" s="13" t="n">
        <x:v>101</x:v>
      </x:c>
      <x:c r="C79" s="13" t="n">
        <x:v>0</x:v>
      </x:c>
      <x:c r="D79" s="14" t="n">
        <x:v>0</x:v>
      </x:c>
      <x:c r="E79" t="n">
        <x:v>0</x:v>
      </x:c>
      <x:c r="F79" t="str"/>
      <x:c r="G79" t="str">
        <x:v>2026-08-04</x:v>
      </x:c>
    </x:row>
    <x:row r="80">
      <x:c r="A80" t="str">
        <x:v>mechanic seo</x:v>
      </x:c>
      <x:c r="B80" s="13" t="n">
        <x:v>101</x:v>
      </x:c>
      <x:c r="C80" s="13" t="n">
        <x:v>0</x:v>
      </x:c>
      <x:c r="D80" s="14" t="n">
        <x:v>0</x:v>
      </x:c>
      <x:c r="E80" t="n">
        <x:v>0</x:v>
      </x:c>
      <x:c r="F80" t="str"/>
      <x:c r="G80" t="str">
        <x:v>2026-08-04</x:v>
      </x:c>
    </x:row>
    <x:row r="81">
      <x:c r="A81" t="str">
        <x:v>auto shop seo</x:v>
      </x:c>
      <x:c r="B81" s="13" t="n">
        <x:v>101</x:v>
      </x:c>
      <x:c r="C81" s="13" t="n">
        <x:v>390</x:v>
      </x:c>
      <x:c r="D81" s="14" t="n">
        <x:v>9.07</x:v>
      </x:c>
      <x:c r="E81" t="n">
        <x:v>0</x:v>
      </x:c>
      <x:c r="F81" t="str"/>
      <x:c r="G81" t="str">
        <x:v>2026-08-04</x:v>
      </x:c>
    </x:row>
    <x:row r="82">
      <x:c r="A82" t="str">
        <x:v>auto repair shop seo services</x:v>
      </x:c>
      <x:c r="B82" s="13" t="n">
        <x:v>101</x:v>
      </x:c>
      <x:c r="C82" s="13" t="n">
        <x:v>0</x:v>
      </x:c>
      <x:c r="D82" s="14" t="n">
        <x:v>0</x:v>
      </x:c>
      <x:c r="E82" t="n">
        <x:v>0</x:v>
      </x:c>
      <x:c r="F82" t="str"/>
      <x:c r="G82" t="str">
        <x:v>2026-08-04</x:v>
      </x:c>
    </x:row>
    <x:row r="83">
      <x:c r="A83" t="str">
        <x:v>auto repair seo services</x:v>
      </x:c>
      <x:c r="B83" s="13" t="n">
        <x:v>101</x:v>
      </x:c>
      <x:c r="C83" s="13" t="n">
        <x:v>50</x:v>
      </x:c>
      <x:c r="D83" s="14" t="n">
        <x:v>0</x:v>
      </x:c>
      <x:c r="E83" t="n">
        <x:v>0</x:v>
      </x:c>
      <x:c r="F83" t="str"/>
      <x:c r="G83" t="str">
        <x:v>2026-08-04</x:v>
      </x:c>
    </x:row>
    <x:row r="84">
      <x:c r="A84" t="str">
        <x:v>auto shop seo services</x:v>
      </x:c>
      <x:c r="B84" s="13" t="n">
        <x:v>101</x:v>
      </x:c>
      <x:c r="C84" s="13" t="n">
        <x:v>0</x:v>
      </x:c>
      <x:c r="D84" s="14" t="n">
        <x:v>0</x:v>
      </x:c>
      <x:c r="E84" t="n">
        <x:v>0</x:v>
      </x:c>
      <x:c r="F84" t="str"/>
      <x:c r="G84" t="str">
        <x:v>2026-08-04</x:v>
      </x:c>
    </x:row>
    <x:row r="85">
      <x:c r="A85" t="str">
        <x:v>automotive seo services</x:v>
      </x:c>
      <x:c r="B85" s="13" t="n">
        <x:v>101</x:v>
      </x:c>
      <x:c r="C85" s="13" t="n">
        <x:v>480</x:v>
      </x:c>
      <x:c r="D85" s="14" t="n">
        <x:v>6.75</x:v>
      </x:c>
      <x:c r="E85" t="n">
        <x:v>0</x:v>
      </x:c>
      <x:c r="F85" t="str"/>
      <x:c r="G85" t="str">
        <x:v>2026-08-04</x:v>
      </x:c>
    </x:row>
    <x:row r="86">
      <x:c r="A86" t="str">
        <x:v>auto repair shop advertising</x:v>
      </x:c>
      <x:c r="B86" s="13" t="n">
        <x:v>101</x:v>
      </x:c>
      <x:c r="C86" s="13" t="n">
        <x:v>320</x:v>
      </x:c>
      <x:c r="D86" s="14" t="n">
        <x:v>5</x:v>
      </x:c>
      <x:c r="E86" t="n">
        <x:v>0</x:v>
      </x:c>
      <x:c r="F86" t="str"/>
      <x:c r="G86" t="str">
        <x:v>2026-08-04</x:v>
      </x:c>
    </x:row>
    <x:row r="87">
      <x:c r="A87" t="str">
        <x:v>auto repair advertising</x:v>
      </x:c>
      <x:c r="B87" s="13" t="n">
        <x:v>101</x:v>
      </x:c>
      <x:c r="C87" s="13" t="n">
        <x:v>320</x:v>
      </x:c>
      <x:c r="D87" s="14" t="n">
        <x:v>5</x:v>
      </x:c>
      <x:c r="E87" t="n">
        <x:v>0</x:v>
      </x:c>
      <x:c r="F87" t="str"/>
      <x:c r="G87" t="str">
        <x:v>2026-08-04</x:v>
      </x:c>
    </x:row>
    <x:row r="88">
      <x:c r="A88" t="str">
        <x:v>advertising for auto repair shops</x:v>
      </x:c>
      <x:c r="B88" s="13" t="n">
        <x:v>101</x:v>
      </x:c>
      <x:c r="C88" s="13" t="n">
        <x:v>320</x:v>
      </x:c>
      <x:c r="D88" s="14" t="n">
        <x:v>0</x:v>
      </x:c>
      <x:c r="E88" t="n">
        <x:v>0</x:v>
      </x:c>
      <x:c r="F88" t="str"/>
      <x:c r="G88" t="str">
        <x:v>2026-08-04</x:v>
      </x:c>
    </x:row>
    <x:row r="89">
      <x:c r="A89" t="str">
        <x:v>advertising for auto shops</x:v>
      </x:c>
      <x:c r="B89" s="13" t="n">
        <x:v>101</x:v>
      </x:c>
      <x:c r="C89" s="13" t="n">
        <x:v>0</x:v>
      </x:c>
      <x:c r="D89" s="14" t="n">
        <x:v>0</x:v>
      </x:c>
      <x:c r="E89" t="n">
        <x:v>0</x:v>
      </x:c>
      <x:c r="F89" t="str"/>
      <x:c r="G89" t="str">
        <x:v>2026-08-04</x:v>
      </x:c>
    </x:row>
    <x:row r="90">
      <x:c r="A90" t="str">
        <x:v>auto repair shop ads</x:v>
      </x:c>
      <x:c r="B90" s="13" t="n">
        <x:v>101</x:v>
      </x:c>
      <x:c r="C90" s="13" t="n">
        <x:v>320</x:v>
      </x:c>
      <x:c r="D90" s="14" t="n">
        <x:v>5</x:v>
      </x:c>
      <x:c r="E90" t="n">
        <x:v>0</x:v>
      </x:c>
      <x:c r="F90" t="str"/>
      <x:c r="G90" t="str">
        <x:v>2026-08-04</x:v>
      </x:c>
    </x:row>
    <x:row r="91">
      <x:c r="A91" t="str">
        <x:v>auto repair ads</x:v>
      </x:c>
      <x:c r="B91" s="13" t="n">
        <x:v>101</x:v>
      </x:c>
      <x:c r="C91" s="13" t="n">
        <x:v>40</x:v>
      </x:c>
      <x:c r="D91" s="14" t="n">
        <x:v>6.39</x:v>
      </x:c>
      <x:c r="E91" t="n">
        <x:v>0</x:v>
      </x:c>
      <x:c r="F91" t="str"/>
      <x:c r="G91" t="str">
        <x:v>2026-08-04</x:v>
      </x:c>
    </x:row>
    <x:row r="92">
      <x:c r="A92" t="str">
        <x:v>google ads for auto repair</x:v>
      </x:c>
      <x:c r="B92" s="13" t="n">
        <x:v>101</x:v>
      </x:c>
      <x:c r="C92" s="13" t="n">
        <x:v>0</x:v>
      </x:c>
      <x:c r="D92" s="14" t="n">
        <x:v>0</x:v>
      </x:c>
      <x:c r="E92" t="n">
        <x:v>0</x:v>
      </x:c>
      <x:c r="F92" t="str"/>
      <x:c r="G92" t="str">
        <x:v>2026-08-04</x:v>
      </x:c>
    </x:row>
    <x:row r="93">
      <x:c r="A93" t="str">
        <x:v>auto shop google ads</x:v>
      </x:c>
      <x:c r="B93" s="13" t="n">
        <x:v>101</x:v>
      </x:c>
      <x:c r="C93" s="13" t="n">
        <x:v>0</x:v>
      </x:c>
      <x:c r="D93" s="14" t="n">
        <x:v>0</x:v>
      </x:c>
      <x:c r="E93" t="n">
        <x:v>0</x:v>
      </x:c>
      <x:c r="F93" t="str"/>
      <x:c r="G93" t="str">
        <x:v>2026-08-04</x:v>
      </x:c>
    </x:row>
    <x:row r="94">
      <x:c r="A94" t="str">
        <x:v>facebook ads for auto repair</x:v>
      </x:c>
      <x:c r="B94" s="13" t="n">
        <x:v>101</x:v>
      </x:c>
      <x:c r="C94" s="13" t="n">
        <x:v>10</x:v>
      </x:c>
      <x:c r="D94" s="14" t="n">
        <x:v>0</x:v>
      </x:c>
      <x:c r="E94" t="n">
        <x:v>0</x:v>
      </x:c>
      <x:c r="F94" t="str"/>
      <x:c r="G94" t="str">
        <x:v>2026-08-04</x:v>
      </x:c>
    </x:row>
    <x:row r="95">
      <x:c r="A95" t="str">
        <x:v>auto repair shop website</x:v>
      </x:c>
      <x:c r="B95" s="13" t="n">
        <x:v>101</x:v>
      </x:c>
      <x:c r="C95" s="13" t="n">
        <x:v>320</x:v>
      </x:c>
      <x:c r="D95" s="14" t="n">
        <x:v>3.9</x:v>
      </x:c>
      <x:c r="E95" t="n">
        <x:v>0</x:v>
      </x:c>
      <x:c r="F95" t="str"/>
      <x:c r="G95" t="str">
        <x:v>2026-08-04</x:v>
      </x:c>
    </x:row>
    <x:row r="96">
      <x:c r="A96" t="str">
        <x:v>auto repair websites</x:v>
      </x:c>
      <x:c r="B96" s="13" t="n">
        <x:v>101</x:v>
      </x:c>
      <x:c r="C96" s="13" t="n">
        <x:v>10</x:v>
      </x:c>
      <x:c r="D96" s="14" t="n">
        <x:v>2.26</x:v>
      </x:c>
      <x:c r="E96" t="n">
        <x:v>0</x:v>
      </x:c>
      <x:c r="F96" t="str"/>
      <x:c r="G96" t="str">
        <x:v>2026-08-04</x:v>
      </x:c>
    </x:row>
    <x:row r="97">
      <x:c r="A97" t="str">
        <x:v>auto repair website design</x:v>
      </x:c>
      <x:c r="B97" s="13" t="n">
        <x:v>101</x:v>
      </x:c>
      <x:c r="C97" s="13" t="n">
        <x:v>320</x:v>
      </x:c>
      <x:c r="D97" s="14" t="n">
        <x:v>4.82</x:v>
      </x:c>
      <x:c r="E97" t="n">
        <x:v>0</x:v>
      </x:c>
      <x:c r="F97" t="str"/>
      <x:c r="G97" t="str">
        <x:v>2026-08-04</x:v>
      </x:c>
    </x:row>
    <x:row r="98">
      <x:c r="A98" t="str">
        <x:v>auto shop website design</x:v>
      </x:c>
      <x:c r="B98" s="13" t="n">
        <x:v>101</x:v>
      </x:c>
      <x:c r="C98" s="13" t="n">
        <x:v>320</x:v>
      </x:c>
      <x:c r="D98" s="14" t="n">
        <x:v>4.73</x:v>
      </x:c>
      <x:c r="E98" t="n">
        <x:v>0</x:v>
      </x:c>
      <x:c r="F98" t="str"/>
      <x:c r="G98" t="str">
        <x:v>2026-08-04</x:v>
      </x:c>
    </x:row>
    <x:row r="99">
      <x:c r="A99" t="str">
        <x:v>mechanic website design</x:v>
      </x:c>
      <x:c r="B99" s="13" t="n">
        <x:v>101</x:v>
      </x:c>
      <x:c r="C99" s="13" t="n">
        <x:v>50</x:v>
      </x:c>
      <x:c r="D99" s="14" t="n">
        <x:v>10.79</x:v>
      </x:c>
      <x:c r="E99" t="n">
        <x:v>0</x:v>
      </x:c>
      <x:c r="F99" t="str"/>
      <x:c r="G99" t="str">
        <x:v>2026-08-04</x:v>
      </x:c>
    </x:row>
    <x:row r="100">
      <x:c r="A100" t="str">
        <x:v>auto repair website</x:v>
      </x:c>
      <x:c r="B100" s="13" t="n">
        <x:v>101</x:v>
      </x:c>
      <x:c r="C100" s="13" t="n">
        <x:v>10</x:v>
      </x:c>
      <x:c r="D100" s="14" t="n">
        <x:v>2.26</x:v>
      </x:c>
      <x:c r="E100" t="n">
        <x:v>0</x:v>
      </x:c>
      <x:c r="F100" t="str"/>
      <x:c r="G100" t="str">
        <x:v>2026-08-04</x:v>
      </x:c>
    </x:row>
    <x:row r="101">
      <x:c r="A101" t="str">
        <x:v>automotive repair website design</x:v>
      </x:c>
      <x:c r="B101" s="13" t="n">
        <x:v>101</x:v>
      </x:c>
      <x:c r="C101" s="13" t="n">
        <x:v>320</x:v>
      </x:c>
      <x:c r="D101" s="14" t="n">
        <x:v>4.73</x:v>
      </x:c>
      <x:c r="E101" t="n">
        <x:v>0</x:v>
      </x:c>
      <x:c r="F101" t="str"/>
      <x:c r="G101" t="str">
        <x:v>2026-08-04</x:v>
      </x:c>
    </x:row>
    <x:row r="102">
      <x:c r="A102" t="str">
        <x:v>auto repair leads</x:v>
      </x:c>
      <x:c r="B102" s="13" t="n">
        <x:v>101</x:v>
      </x:c>
      <x:c r="C102" s="13" t="n">
        <x:v>140</x:v>
      </x:c>
      <x:c r="D102" s="14" t="n">
        <x:v>10.23</x:v>
      </x:c>
      <x:c r="E102" t="n">
        <x:v>0</x:v>
      </x:c>
      <x:c r="F102" t="str"/>
      <x:c r="G102" t="str">
        <x:v>2026-08-04</x:v>
      </x:c>
    </x:row>
    <x:row r="103">
      <x:c r="A103" t="str">
        <x:v>auto shop lead generation</x:v>
      </x:c>
      <x:c r="B103" s="13" t="n">
        <x:v>101</x:v>
      </x:c>
      <x:c r="C103" s="13" t="n">
        <x:v>0</x:v>
      </x:c>
      <x:c r="D103" s="14" t="n">
        <x:v>0</x:v>
      </x:c>
      <x:c r="E103" t="n">
        <x:v>0</x:v>
      </x:c>
      <x:c r="F103" t="str">
        <x:v>https://www.turnkeyautomarketing.com/resources</x:v>
      </x:c>
      <x:c r="G103" t="str">
        <x:v>2026-08-04</x:v>
      </x:c>
    </x:row>
    <x:row r="104">
      <x:c r="A104" t="str">
        <x:v>auto repair marketing ideas</x:v>
      </x:c>
      <x:c r="B104" s="13" t="n">
        <x:v>101</x:v>
      </x:c>
      <x:c r="C104" s="13" t="n">
        <x:v>170</x:v>
      </x:c>
      <x:c r="D104" s="14" t="n">
        <x:v>3.94</x:v>
      </x:c>
      <x:c r="E104" t="n">
        <x:v>0</x:v>
      </x:c>
      <x:c r="F104" t="str"/>
      <x:c r="G104" t="str">
        <x:v>2026-08-04</x:v>
      </x:c>
    </x:row>
    <x:row r="105">
      <x:c r="A105" t="str">
        <x:v>auto shop marketing ideas</x:v>
      </x:c>
      <x:c r="B105" s="13" t="n">
        <x:v>101</x:v>
      </x:c>
      <x:c r="C105" s="13" t="n">
        <x:v>170</x:v>
      </x:c>
      <x:c r="D105" s="14" t="n">
        <x:v>3.94</x:v>
      </x:c>
      <x:c r="E105" t="n">
        <x:v>0</x:v>
      </x:c>
      <x:c r="F105" t="str"/>
      <x:c r="G105" t="str">
        <x:v>2026-08-04</x:v>
      </x:c>
    </x:row>
    <x:row r="106">
      <x:c r="A106" t="str">
        <x:v>automotive marketing ideas</x:v>
      </x:c>
      <x:c r="B106" s="13" t="n">
        <x:v>101</x:v>
      </x:c>
      <x:c r="C106" s="13" t="n">
        <x:v>20</x:v>
      </x:c>
      <x:c r="D106" s="14" t="n">
        <x:v>0</x:v>
      </x:c>
      <x:c r="E106" t="n">
        <x:v>0</x:v>
      </x:c>
      <x:c r="F106" t="str"/>
      <x:c r="G106" t="str">
        <x:v>2026-08-04</x:v>
      </x:c>
    </x:row>
    <x:row r="107">
      <x:c r="A107" t="str">
        <x:v>auto shop marketing plan</x:v>
      </x:c>
      <x:c r="B107" s="13" t="n">
        <x:v>34</x:v>
      </x:c>
      <x:c r="C107" s="13" t="n">
        <x:v>0</x:v>
      </x:c>
      <x:c r="D107" s="14" t="n">
        <x:v>0</x:v>
      </x:c>
      <x:c r="E107" t="n">
        <x:v>-7</x:v>
      </x:c>
      <x:c r="F107" t="str">
        <x:v>https://www.turnkeyautomarketing.com/resources/auto-repair-marketing-plan</x:v>
      </x:c>
      <x:c r="G107" t="str">
        <x:v>2026-08-04</x:v>
      </x:c>
    </x:row>
    <x:row r="108">
      <x:c r="A108" t="str">
        <x:v>auto repair shop marketing strategies</x:v>
      </x:c>
      <x:c r="B108" s="13" t="n">
        <x:v>101</x:v>
      </x:c>
      <x:c r="C108" s="13" t="n">
        <x:v>140</x:v>
      </x:c>
      <x:c r="D108" s="14" t="n">
        <x:v>4.83</x:v>
      </x:c>
      <x:c r="E108" t="n">
        <x:v>0</x:v>
      </x:c>
      <x:c r="F108" t="str">
        <x:v>https://www.turnkeyautomarketing.com/resources/auto-repair-marketing-plan</x:v>
      </x:c>
      <x:c r="G108" t="str">
        <x:v>2026-08-04</x:v>
      </x:c>
    </x:row>
    <x:row r="109">
      <x:c r="A109" t="str">
        <x:v>auto repair marketing strategies</x:v>
      </x:c>
      <x:c r="B109" s="13" t="n">
        <x:v>101</x:v>
      </x:c>
      <x:c r="C109" s="13" t="n">
        <x:v>140</x:v>
      </x:c>
      <x:c r="D109" s="14" t="n">
        <x:v>4.83</x:v>
      </x:c>
      <x:c r="E109" t="n">
        <x:v>0</x:v>
      </x:c>
      <x:c r="F109" t="str">
        <x:v>https://www.turnkeyautomarketing.com/resources/auto-repair-marketing-plan</x:v>
      </x:c>
      <x:c r="G109" t="str">
        <x:v>2026-08-04</x:v>
      </x:c>
    </x:row>
    <x:row r="110">
      <x:c r="A110" t="str">
        <x:v>auto shop marketing strategies</x:v>
      </x:c>
      <x:c r="B110" s="13" t="n">
        <x:v>101</x:v>
      </x:c>
      <x:c r="C110" s="13" t="n">
        <x:v>0</x:v>
      </x:c>
      <x:c r="D110" s="14" t="n">
        <x:v>0</x:v>
      </x:c>
      <x:c r="E110" t="n">
        <x:v>0</x:v>
      </x:c>
      <x:c r="F110" t="str"/>
      <x:c r="G110" t="str">
        <x:v>2026-08-04</x:v>
      </x:c>
    </x:row>
    <x:row r="111">
      <x:c r="A111" t="str">
        <x:v>how to market an auto repair shop</x:v>
      </x:c>
      <x:c r="B111" s="13" t="n">
        <x:v>101</x:v>
      </x:c>
      <x:c r="C111" s="13" t="n">
        <x:v>10</x:v>
      </x:c>
      <x:c r="D111" s="14" t="n">
        <x:v>10.79</x:v>
      </x:c>
      <x:c r="E111" t="n">
        <x:v>0</x:v>
      </x:c>
      <x:c r="F111" t="str">
        <x:v>https://www.turnkeyautomarketing.com/resources</x:v>
      </x:c>
      <x:c r="G111" t="str">
        <x:v>2026-08-04</x:v>
      </x:c>
    </x:row>
    <x:row r="112">
      <x:c r="A112" t="str">
        <x:v>how to advertise auto repair shop</x:v>
      </x:c>
      <x:c r="B112" s="13" t="n">
        <x:v>101</x:v>
      </x:c>
      <x:c r="C112" s="13" t="n">
        <x:v>0</x:v>
      </x:c>
      <x:c r="D112" s="14" t="n">
        <x:v>0</x:v>
      </x:c>
      <x:c r="E112" t="n">
        <x:v>0</x:v>
      </x:c>
      <x:c r="F112" t="str"/>
      <x:c r="G112" t="str">
        <x:v>2026-08-04</x:v>
      </x:c>
    </x:row>
    <x:row r="113">
      <x:c r="A113" t="str">
        <x:v>how to get more customers for auto repair shop</x:v>
      </x:c>
      <x:c r="B113" s="13" t="n">
        <x:v>56</x:v>
      </x:c>
      <x:c r="C113" s="13" t="n">
        <x:v>0</x:v>
      </x:c>
      <x:c r="D113" s="14" t="n">
        <x:v>0</x:v>
      </x:c>
      <x:c r="E113" t="n">
        <x:v>-3</x:v>
      </x:c>
      <x:c r="F113" t="str">
        <x:v>https://www.turnkeyautomarketing.com/resources/ideal-customer-profile-auto-repair-shop</x:v>
      </x:c>
      <x:c r="G113" t="str">
        <x:v>2026-08-04</x:v>
      </x:c>
    </x:row>
    <x:row r="114">
      <x:c r="A114" t="str">
        <x:v>how to grow an auto repair business</x:v>
      </x:c>
      <x:c r="B114" s="13" t="n">
        <x:v>101</x:v>
      </x:c>
      <x:c r="C114" s="13" t="n">
        <x:v>0</x:v>
      </x:c>
      <x:c r="D114" s="14" t="n">
        <x:v>0</x:v>
      </x:c>
      <x:c r="E114" t="n">
        <x:v>0</x:v>
      </x:c>
      <x:c r="F114" t="str"/>
      <x:c r="G114" t="str">
        <x:v>2026-08-04</x:v>
      </x:c>
    </x:row>
    <x:row r="115">
      <x:c r="A115" t="str">
        <x:v>auto repair shop social media</x:v>
      </x:c>
      <x:c r="B115" s="13" t="n">
        <x:v>101</x:v>
      </x:c>
      <x:c r="C115" s="13" t="n">
        <x:v>0</x:v>
      </x:c>
      <x:c r="D115" s="14" t="n">
        <x:v>0</x:v>
      </x:c>
      <x:c r="E115" t="n">
        <x:v>0</x:v>
      </x:c>
      <x:c r="F115" t="str">
        <x:v>https://turnkeyautomarketing.com/services/social-media-marketing</x:v>
      </x:c>
      <x:c r="G115" t="str">
        <x:v>2026-08-04</x:v>
      </x:c>
    </x:row>
    <x:row r="116">
      <x:c r="A116" t="str">
        <x:v>social media marketing for auto repair shops</x:v>
      </x:c>
      <x:c r="B116" s="13" t="n">
        <x:v>101</x:v>
      </x:c>
      <x:c r="C116" s="13" t="n">
        <x:v>10</x:v>
      </x:c>
      <x:c r="D116" s="14" t="n">
        <x:v>0</x:v>
      </x:c>
      <x:c r="E116" t="n">
        <x:v>-68</x:v>
      </x:c>
      <x:c r="F116" t="str">
        <x:v>https://www.turnkeyautomarketing.com/services/social-media-marketing</x:v>
      </x:c>
      <x:c r="G116" t="str">
        <x:v>2026-08-04</x:v>
      </x:c>
    </x:row>
    <x:row r="117">
      <x:c r="A117" t="str">
        <x:v>auto shop social media marketing</x:v>
      </x:c>
      <x:c r="B117" s="13" t="n">
        <x:v>101</x:v>
      </x:c>
      <x:c r="C117" s="13" t="n">
        <x:v>0</x:v>
      </x:c>
      <x:c r="D117" s="14" t="n">
        <x:v>0</x:v>
      </x:c>
      <x:c r="E117" t="n">
        <x:v>0</x:v>
      </x:c>
      <x:c r="F117" t="str">
        <x:v>https://turnkeyautomarketing.com/services/social-media-marketing</x:v>
      </x:c>
      <x:c r="G117" t="str">
        <x:v>2026-08-04</x:v>
      </x:c>
    </x:row>
    <x:row r="118">
      <x:c r="A118" t="str">
        <x:v>auto repair shop facebook marketing</x:v>
      </x:c>
      <x:c r="B118" s="13" t="n">
        <x:v>101</x:v>
      </x:c>
      <x:c r="C118" s="13" t="n">
        <x:v>0</x:v>
      </x:c>
      <x:c r="D118" s="14" t="n">
        <x:v>0</x:v>
      </x:c>
      <x:c r="E118" t="n">
        <x:v>0</x:v>
      </x:c>
      <x:c r="F118" t="str">
        <x:v>https://turnkeyautomarketing.com/services/social-media-marketing</x:v>
      </x:c>
      <x:c r="G118" t="str">
        <x:v>2026-08-04</x:v>
      </x:c>
    </x:row>
    <x:row r="119">
      <x:c r="A119" t="str">
        <x:v>auto repair facebook marketing</x:v>
      </x:c>
      <x:c r="B119" s="13" t="n">
        <x:v>101</x:v>
      </x:c>
      <x:c r="C119" s="13" t="n">
        <x:v>0</x:v>
      </x:c>
      <x:c r="D119" s="14" t="n">
        <x:v>0</x:v>
      </x:c>
      <x:c r="E119" t="n">
        <x:v>0</x:v>
      </x:c>
      <x:c r="F119" t="str">
        <x:v>https://turnkeyautomarketing.com/services/social-media-marketing</x:v>
      </x:c>
      <x:c r="G119" t="str">
        <x:v>2026-08-04</x:v>
      </x:c>
    </x:row>
    <x:row r="120">
      <x:c r="A120" t="str">
        <x:v>automotive social media marketing</x:v>
      </x:c>
      <x:c r="B120" s="13" t="n">
        <x:v>101</x:v>
      </x:c>
      <x:c r="C120" s="13" t="n">
        <x:v>140</x:v>
      </x:c>
      <x:c r="D120" s="14" t="n">
        <x:v>8.19</x:v>
      </x:c>
      <x:c r="E120" t="n">
        <x:v>0</x:v>
      </x:c>
      <x:c r="F120" t="str"/>
      <x:c r="G120" t="str">
        <x:v>2026-08-04</x:v>
      </x:c>
    </x:row>
    <x:row r="121">
      <x:c r="A121" t="str">
        <x:v>auto repair shop email marketing</x:v>
      </x:c>
      <x:c r="B121" s="13" t="n">
        <x:v>101</x:v>
      </x:c>
      <x:c r="C121" s="13" t="n">
        <x:v>10</x:v>
      </x:c>
      <x:c r="D121" s="14" t="n">
        <x:v>0</x:v>
      </x:c>
      <x:c r="E121" t="n">
        <x:v>0</x:v>
      </x:c>
      <x:c r="F121" t="str">
        <x:v>https://www.turnkeyautomarketing.com/services/direct-mail</x:v>
      </x:c>
      <x:c r="G121" t="str">
        <x:v>2026-08-04</x:v>
      </x:c>
    </x:row>
    <x:row r="122">
      <x:c r="A122" t="str">
        <x:v>auto repair email marketing</x:v>
      </x:c>
      <x:c r="B122" s="13" t="n">
        <x:v>101</x:v>
      </x:c>
      <x:c r="C122" s="13" t="n">
        <x:v>10</x:v>
      </x:c>
      <x:c r="D122" s="14" t="n">
        <x:v>0</x:v>
      </x:c>
      <x:c r="E122" t="n">
        <x:v>0</x:v>
      </x:c>
      <x:c r="F122" t="str">
        <x:v>https://www.turnkeyautomarketing.com/resources</x:v>
      </x:c>
      <x:c r="G122" t="str">
        <x:v>2026-08-04</x:v>
      </x:c>
    </x:row>
    <x:row r="123">
      <x:c r="A123" t="str">
        <x:v>email marketing for auto repair shops</x:v>
      </x:c>
      <x:c r="B123" s="13" t="n">
        <x:v>101</x:v>
      </x:c>
      <x:c r="C123" s="13" t="n">
        <x:v>0</x:v>
      </x:c>
      <x:c r="D123" s="14" t="n">
        <x:v>0</x:v>
      </x:c>
      <x:c r="E123" t="n">
        <x:v>0</x:v>
      </x:c>
      <x:c r="F123" t="str">
        <x:v>https://www.turnkeyautomarketing.com/services/direct-mail</x:v>
      </x:c>
      <x:c r="G123" t="str">
        <x:v>2026-08-04</x:v>
      </x:c>
    </x:row>
    <x:row r="124">
      <x:c r="A124" t="str">
        <x:v>auto shop email marketing</x:v>
      </x:c>
      <x:c r="B124" s="13" t="n">
        <x:v>101</x:v>
      </x:c>
      <x:c r="C124" s="13" t="n">
        <x:v>0</x:v>
      </x:c>
      <x:c r="D124" s="14" t="n">
        <x:v>0</x:v>
      </x:c>
      <x:c r="E124" t="n">
        <x:v>0</x:v>
      </x:c>
      <x:c r="F124" t="str"/>
      <x:c r="G124" t="str">
        <x:v>2026-08-04</x:v>
      </x:c>
    </x:row>
    <x:row r="125">
      <x:c r="A125" t="str">
        <x:v>auto repair shop direct mail</x:v>
      </x:c>
      <x:c r="B125" s="13" t="n">
        <x:v>20</x:v>
      </x:c>
      <x:c r="C125" s="13" t="n">
        <x:v>10</x:v>
      </x:c>
      <x:c r="D125" s="14" t="n">
        <x:v>0</x:v>
      </x:c>
      <x:c r="E125" t="n">
        <x:v>0</x:v>
      </x:c>
      <x:c r="F125" t="str">
        <x:v>https://www.turnkeyautomarketing.com/services/direct-mail</x:v>
      </x:c>
      <x:c r="G125" t="str">
        <x:v>2026-08-04</x:v>
      </x:c>
    </x:row>
    <x:row r="126">
      <x:c r="A126" t="str">
        <x:v>auto repair shop postcard marketing</x:v>
      </x:c>
      <x:c r="B126" s="13" t="n">
        <x:v>31</x:v>
      </x:c>
      <x:c r="C126" s="13" t="n">
        <x:v>0</x:v>
      </x:c>
      <x:c r="D126" s="14" t="n">
        <x:v>0</x:v>
      </x:c>
      <x:c r="E126" t="n">
        <x:v>-1</x:v>
      </x:c>
      <x:c r="F126" t="str">
        <x:v>https://www.turnkeyautomarketing.com/services/direct-mail</x:v>
      </x:c>
      <x:c r="G126" t="str">
        <x:v>2026-08-04</x:v>
      </x:c>
    </x:row>
    <x:row r="127">
      <x:c r="A127" t="str">
        <x:v>auto repair postcard marketing</x:v>
      </x:c>
      <x:c r="B127" s="13" t="n">
        <x:v>35</x:v>
      </x:c>
      <x:c r="C127" s="13" t="n">
        <x:v>0</x:v>
      </x:c>
      <x:c r="D127" s="14" t="n">
        <x:v>0</x:v>
      </x:c>
      <x:c r="E127" t="n">
        <x:v>0</x:v>
      </x:c>
      <x:c r="F127" t="str">
        <x:v>https://www.turnkeyautomarketing.com/services/direct-mail</x:v>
      </x:c>
      <x:c r="G127" t="str">
        <x:v>2026-08-04</x:v>
      </x:c>
    </x:row>
    <x:row r="128">
      <x:c r="A128" t="str">
        <x:v>automotive direct mail marketing</x:v>
      </x:c>
      <x:c r="B128" s="13" t="n">
        <x:v>101</x:v>
      </x:c>
      <x:c r="C128" s="13" t="n">
        <x:v>90</x:v>
      </x:c>
      <x:c r="D128" s="14" t="n">
        <x:v>16</x:v>
      </x:c>
      <x:c r="E128" t="n">
        <x:v>0</x:v>
      </x:c>
      <x:c r="F128" t="str">
        <x:v>https://www.turnkeyautomarketing.com/services/direct-mail</x:v>
      </x:c>
      <x:c r="G128" t="str">
        <x:v>2026-08-04</x:v>
      </x:c>
    </x:row>
    <x:row r="129">
      <x:c r="A129" t="str">
        <x:v>auto repair shop branding</x:v>
      </x:c>
      <x:c r="B129" s="13" t="n">
        <x:v>101</x:v>
      </x:c>
      <x:c r="C129" s="13" t="n">
        <x:v>0</x:v>
      </x:c>
      <x:c r="D129" s="14" t="n">
        <x:v>0</x:v>
      </x:c>
      <x:c r="E129" t="n">
        <x:v>0</x:v>
      </x:c>
      <x:c r="F129" t="str"/>
      <x:c r="G129" t="str">
        <x:v>2026-08-04</x:v>
      </x:c>
    </x:row>
    <x:row r="130">
      <x:c r="A130" t="str">
        <x:v>auto repair branding</x:v>
      </x:c>
      <x:c r="B130" s="13" t="n">
        <x:v>101</x:v>
      </x:c>
      <x:c r="C130" s="13" t="n">
        <x:v>0</x:v>
      </x:c>
      <x:c r="D130" s="14" t="n">
        <x:v>0</x:v>
      </x:c>
      <x:c r="E130" t="n">
        <x:v>0</x:v>
      </x:c>
      <x:c r="F130" t="str"/>
      <x:c r="G130" t="str">
        <x:v>2026-08-04</x:v>
      </x:c>
    </x:row>
    <x:row r="131">
      <x:c r="A131" t="str">
        <x:v>auto shop branding</x:v>
      </x:c>
      <x:c r="B131" s="13" t="n">
        <x:v>101</x:v>
      </x:c>
      <x:c r="C131" s="13" t="n">
        <x:v>0</x:v>
      </x:c>
      <x:c r="D131" s="14" t="n">
        <x:v>0</x:v>
      </x:c>
      <x:c r="E131" t="n">
        <x:v>0</x:v>
      </x:c>
      <x:c r="F131" t="str"/>
      <x:c r="G131" t="str">
        <x:v>2026-08-04</x:v>
      </x:c>
    </x:row>
    <x:row r="132">
      <x:c r="A132" t="str">
        <x:v>automotive branding agency</x:v>
      </x:c>
      <x:c r="B132" s="13" t="n">
        <x:v>101</x:v>
      </x:c>
      <x:c r="C132" s="13" t="n">
        <x:v>30</x:v>
      </x:c>
      <x:c r="D132" s="14" t="n">
        <x:v>0</x:v>
      </x:c>
      <x:c r="E132" t="n">
        <x:v>0</x:v>
      </x:c>
      <x:c r="F132" t="str"/>
      <x:c r="G132" t="str">
        <x:v>2026-08-04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16e35a2fe0fd46c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46" hidden="0" customWidth="1"/>
    <x:col min="6" max="6" width="58" hidden="0" customWidth="1"/>
  </x:cols>
  <x:sheetData>
    <x:row r="1" ht="28" customHeight="1">
      <x:c r="A1" s="3" t="str">
        <x:v>SE Ranking — Deduplicated Keyword Research</x:v>
      </x:c>
      <x:c r="B1" s="3" t="str">
        <x:v>SE Ranking — Deduplicated Keyword Research</x:v>
      </x:c>
      <x:c r="C1" s="3" t="str">
        <x:v>SE Ranking — Deduplicated Keyword Research</x:v>
      </x:c>
      <x:c r="D1" s="3" t="str">
        <x:v>SE Ranking — Deduplicated Keyword Research</x:v>
      </x:c>
      <x:c r="E1" s="3" t="str">
        <x:v>SE Ranking — Deduplicated Keyword Research</x:v>
      </x:c>
      <x:c r="F1" s="3" t="str">
        <x:v>SE Ranking — Deduplicated Keyword Research</x:v>
      </x:c>
    </x:row>
    <x:row r="2" ht="28" customHeight="1">
      <x:c r="A2" s="3" t="str">
        <x:v>SE Ranking — Deduplicated Keyword Research</x:v>
      </x:c>
      <x:c r="B2" s="3" t="str">
        <x:v>SE Ranking — Deduplicated Keyword Research</x:v>
      </x:c>
      <x:c r="C2" s="3" t="str">
        <x:v>SE Ranking — Deduplicated Keyword Research</x:v>
      </x:c>
      <x:c r="D2" s="3" t="str">
        <x:v>SE Ranking — Deduplicated Keyword Research</x:v>
      </x:c>
      <x:c r="E2" s="3" t="str">
        <x:v>SE Ranking — Deduplicated Keyword Research</x:v>
      </x:c>
      <x:c r="F2" s="3" t="str">
        <x:v>SE Ranking — Deduplicated Keyword Research</x:v>
      </x:c>
    </x:row>
    <x:row r="3" ht="28" customHeight="1">
      <x:c r="A3" s="7" t="str">
        <x:v>Maximum observed volume/CPC and lowest observed difficulty across tracked, related-keyword and competitor-gap datasets.</x:v>
      </x:c>
      <x:c r="B3" s="7" t="str">
        <x:v>Maximum observed volume/CPC and lowest observed difficulty across tracked, related-keyword and competitor-gap datasets.</x:v>
      </x:c>
      <x:c r="C3" s="7" t="str">
        <x:v>Maximum observed volume/CPC and lowest observed difficulty across tracked, related-keyword and competitor-gap datasets.</x:v>
      </x:c>
      <x:c r="D3" s="7" t="str">
        <x:v>Maximum observed volume/CPC and lowest observed difficulty across tracked, related-keyword and competitor-gap datasets.</x:v>
      </x:c>
      <x:c r="E3" s="7" t="str">
        <x:v>Maximum observed volume/CPC and lowest observed difficulty across tracked, related-keyword and competitor-gap datasets.</x:v>
      </x:c>
      <x:c r="F3" s="7" t="str">
        <x:v>Maximum observed volume/CPC and lowest observed difficulty across tracked, related-keyword and competitor-gap datasets.</x:v>
      </x:c>
    </x:row>
    <x:row r="5">
      <x:c r="A5" t="str">
        <x:v>Keyword</x:v>
      </x:c>
      <x:c r="B5" t="str">
        <x:v>Volume</x:v>
      </x:c>
      <x:c r="C5" t="str">
        <x:v>Difficulty</x:v>
      </x:c>
      <x:c r="D5" t="str">
        <x:v>CPC</x:v>
      </x:c>
      <x:c r="E5" t="str">
        <x:v>Source</x:v>
      </x:c>
      <x:c r="F5" t="str">
        <x:v>Source URL</x:v>
      </x:c>
    </x:row>
    <x:row r="6">
      <x:c r="A6" t="str">
        <x:v>auto dealer ad agencies</x:v>
      </x:c>
      <x:c r="B6" s="13" t="n">
        <x:v>590</x:v>
      </x:c>
      <x:c r="C6" s="13" t="n">
        <x:v>27</x:v>
      </x:c>
      <x:c r="D6" s="14" t="n">
        <x:v>8.91</x:v>
      </x:c>
      <x:c r="E6" t="str">
        <x:v>SE Ranking related: auto repair marketing agency</x:v>
      </x:c>
      <x:c r="F6" t="str">
        <x:v>https://online.seranking.com/</x:v>
      </x:c>
    </x:row>
    <x:row r="7">
      <x:c r="A7" t="str">
        <x:v>auto dealer advertising agencies</x:v>
      </x:c>
      <x:c r="B7" s="13" t="n">
        <x:v>590</x:v>
      </x:c>
      <x:c r="C7" s="13" t="n">
        <x:v>29</x:v>
      </x:c>
      <x:c r="D7" s="14" t="n">
        <x:v>8.91</x:v>
      </x:c>
      <x:c r="E7" t="str">
        <x:v>SE Ranking related: auto repair marketing agency</x:v>
      </x:c>
      <x:c r="F7" t="str">
        <x:v>https://online.seranking.com/</x:v>
      </x:c>
    </x:row>
    <x:row r="8">
      <x:c r="A8" t="str">
        <x:v>auto dealer advertising agency</x:v>
      </x:c>
      <x:c r="B8" s="13" t="n">
        <x:v>590</x:v>
      </x:c>
      <x:c r="C8" s="13" t="n">
        <x:v>30</x:v>
      </x:c>
      <x:c r="D8" s="14" t="n">
        <x:v>8.91</x:v>
      </x:c>
      <x:c r="E8" t="str">
        <x:v>SE Ranking related: auto repair marketing agency</x:v>
      </x:c>
      <x:c r="F8" t="str">
        <x:v>https://online.seranking.com/</x:v>
      </x:c>
    </x:row>
    <x:row r="9">
      <x:c r="A9" t="str">
        <x:v>auto dealer marketing agencies</x:v>
      </x:c>
      <x:c r="B9" s="13" t="n">
        <x:v>590</x:v>
      </x:c>
      <x:c r="C9" s="13" t="n">
        <x:v>27</x:v>
      </x:c>
      <x:c r="D9" s="14" t="n">
        <x:v>8.91</x:v>
      </x:c>
      <x:c r="E9" t="str">
        <x:v>SE Ranking related: auto repair marketing agency</x:v>
      </x:c>
      <x:c r="F9" t="str">
        <x:v>https://online.seranking.com/</x:v>
      </x:c>
    </x:row>
    <x:row r="10">
      <x:c r="A10" t="str">
        <x:v>auto dealership ad agency</x:v>
      </x:c>
      <x:c r="B10" s="13" t="n">
        <x:v>590</x:v>
      </x:c>
      <x:c r="C10" s="13" t="n">
        <x:v>21</x:v>
      </x:c>
      <x:c r="D10" s="14" t="n">
        <x:v>8.91</x:v>
      </x:c>
      <x:c r="E10" t="str">
        <x:v>SE Ranking related: auto repair marketing agency</x:v>
      </x:c>
      <x:c r="F10" t="str">
        <x:v>https://online.seranking.com/</x:v>
      </x:c>
    </x:row>
    <x:row r="11">
      <x:c r="A11" t="str">
        <x:v>auto repair shop marketing</x:v>
      </x:c>
      <x:c r="B11" s="13" t="n">
        <x:v>590</x:v>
      </x:c>
      <x:c r="C11" s="13" t="n">
        <x:v>13</x:v>
      </x:c>
      <x:c r="D11" s="14" t="n">
        <x:v>8.57</x:v>
      </x:c>
      <x:c r="E11" t="str">
        <x:v>SE Ranking tracked keywords; SE Ranking gap: shopmarketingpros.com</x:v>
      </x:c>
      <x:c r="F11" t="str">
        <x:v>https://online.seranking.com/</x:v>
      </x:c>
    </x:row>
    <x:row r="12">
      <x:c r="A12" t="str">
        <x:v>auto shop marketing</x:v>
      </x:c>
      <x:c r="B12" s="13" t="n">
        <x:v>590</x:v>
      </x:c>
      <x:c r="C12" s="13" t="n">
        <x:v>25</x:v>
      </x:c>
      <x:c r="D12" s="14" t="n">
        <x:v>8.57</x:v>
      </x:c>
      <x:c r="E12" t="str">
        <x:v>SE Ranking tracked keywords; SE Ranking related: auto repair customer retention</x:v>
      </x:c>
      <x:c r="F12" t="str">
        <x:v>https://online.seranking.com/</x:v>
      </x:c>
    </x:row>
    <x:row r="13">
      <x:c r="A13" t="str">
        <x:v>automobil marketing</x:v>
      </x:c>
      <x:c r="B13" s="13" t="n">
        <x:v>590</x:v>
      </x:c>
      <x:c r="C13" s="13" t="n">
        <x:v>11</x:v>
      </x:c>
      <x:c r="D13" s="14" t="n">
        <x:v>4.97</x:v>
      </x:c>
      <x:c r="E13" t="str">
        <x:v>SE Ranking related: auto repair marketing agency</x:v>
      </x:c>
      <x:c r="F13" t="str">
        <x:v>https://online.seranking.com/</x:v>
      </x:c>
    </x:row>
    <x:row r="14">
      <x:c r="A14" t="str">
        <x:v>automotive repair shop marketing</x:v>
      </x:c>
      <x:c r="B14" s="13" t="n">
        <x:v>590</x:v>
      </x:c>
      <x:c r="C14" s="13" t="str"/>
      <x:c r="D14" s="14" t="n">
        <x:v>7.7</x:v>
      </x:c>
      <x:c r="E14" t="str">
        <x:v>SE Ranking tracked keywords</x:v>
      </x:c>
      <x:c r="F14" t="str">
        <x:v>https://online.seranking.com/</x:v>
      </x:c>
    </x:row>
    <x:row r="15">
      <x:c r="A15" t="str">
        <x:v>autos marketing</x:v>
      </x:c>
      <x:c r="B15" s="13" t="n">
        <x:v>590</x:v>
      </x:c>
      <x:c r="C15" s="13" t="n">
        <x:v>11</x:v>
      </x:c>
      <x:c r="D15" s="14" t="n">
        <x:v>4.97</x:v>
      </x:c>
      <x:c r="E15" t="str">
        <x:v>SE Ranking related: auto repair marketing agency</x:v>
      </x:c>
      <x:c r="F15" t="str">
        <x:v>https://online.seranking.com/</x:v>
      </x:c>
    </x:row>
    <x:row r="16">
      <x:c r="A16" t="str">
        <x:v>car dealer advertising agencies</x:v>
      </x:c>
      <x:c r="B16" s="13" t="n">
        <x:v>590</x:v>
      </x:c>
      <x:c r="C16" s="13" t="n">
        <x:v>25</x:v>
      </x:c>
      <x:c r="D16" s="14" t="n">
        <x:v>8.91</x:v>
      </x:c>
      <x:c r="E16" t="str">
        <x:v>SE Ranking related: auto repair marketing agency</x:v>
      </x:c>
      <x:c r="F16" t="str">
        <x:v>https://online.seranking.com/</x:v>
      </x:c>
    </x:row>
    <x:row r="17">
      <x:c r="A17" t="str">
        <x:v>car dealer marketing agencies</x:v>
      </x:c>
      <x:c r="B17" s="13" t="n">
        <x:v>590</x:v>
      </x:c>
      <x:c r="C17" s="13" t="n">
        <x:v>19</x:v>
      </x:c>
      <x:c r="D17" s="14" t="n">
        <x:v>8.91</x:v>
      </x:c>
      <x:c r="E17" t="str">
        <x:v>SE Ranking related: auto repair marketing agency</x:v>
      </x:c>
      <x:c r="F17" t="str">
        <x:v>https://online.seranking.com/</x:v>
      </x:c>
    </x:row>
    <x:row r="18">
      <x:c r="A18" t="str">
        <x:v>car dealer marketing agency</x:v>
      </x:c>
      <x:c r="B18" s="13" t="n">
        <x:v>590</x:v>
      </x:c>
      <x:c r="C18" s="13" t="n">
        <x:v>33</x:v>
      </x:c>
      <x:c r="D18" s="14" t="n">
        <x:v>8.91</x:v>
      </x:c>
      <x:c r="E18" t="str">
        <x:v>SE Ranking related: auto repair marketing agency</x:v>
      </x:c>
      <x:c r="F18" t="str">
        <x:v>https://online.seranking.com/</x:v>
      </x:c>
    </x:row>
    <x:row r="19">
      <x:c r="A19" t="str">
        <x:v>car dealership ad agencies</x:v>
      </x:c>
      <x:c r="B19" s="13" t="n">
        <x:v>590</x:v>
      </x:c>
      <x:c r="C19" s="13" t="n">
        <x:v>22</x:v>
      </x:c>
      <x:c r="D19" s="14" t="n">
        <x:v>8.91</x:v>
      </x:c>
      <x:c r="E19" t="str">
        <x:v>SE Ranking related: auto repair marketing agency</x:v>
      </x:c>
      <x:c r="F19" t="str">
        <x:v>https://online.seranking.com/</x:v>
      </x:c>
    </x:row>
    <x:row r="20">
      <x:c r="A20" t="str">
        <x:v>car dealership advertising agency</x:v>
      </x:c>
      <x:c r="B20" s="13" t="n">
        <x:v>590</x:v>
      </x:c>
      <x:c r="C20" s="13" t="n">
        <x:v>24</x:v>
      </x:c>
      <x:c r="D20" s="14" t="n">
        <x:v>8.91</x:v>
      </x:c>
      <x:c r="E20" t="str">
        <x:v>SE Ranking related: auto repair marketing agency</x:v>
      </x:c>
      <x:c r="F20" t="str">
        <x:v>https://online.seranking.com/</x:v>
      </x:c>
    </x:row>
    <x:row r="21">
      <x:c r="A21" t="str">
        <x:v>car dealership marketing agencies</x:v>
      </x:c>
      <x:c r="B21" s="13" t="n">
        <x:v>590</x:v>
      </x:c>
      <x:c r="C21" s="13" t="n">
        <x:v>22</x:v>
      </x:c>
      <x:c r="D21" s="14" t="n">
        <x:v>8.91</x:v>
      </x:c>
      <x:c r="E21" t="str">
        <x:v>SE Ranking related: auto repair marketing agency</x:v>
      </x:c>
      <x:c r="F21" t="str">
        <x:v>https://online.seranking.com/</x:v>
      </x:c>
    </x:row>
    <x:row r="22">
      <x:c r="A22" t="str">
        <x:v>car repair shop marketing</x:v>
      </x:c>
      <x:c r="B22" s="13" t="n">
        <x:v>590</x:v>
      </x:c>
      <x:c r="C22" s="13" t="str"/>
      <x:c r="D22" s="14" t="n">
        <x:v>7.7</x:v>
      </x:c>
      <x:c r="E22" t="str">
        <x:v>SE Ranking tracked keywords</x:v>
      </x:c>
      <x:c r="F22" t="str">
        <x:v>https://online.seranking.com/</x:v>
      </x:c>
    </x:row>
    <x:row r="23">
      <x:c r="A23" t="str">
        <x:v>dealership advertising agency</x:v>
      </x:c>
      <x:c r="B23" s="13" t="n">
        <x:v>590</x:v>
      </x:c>
      <x:c r="C23" s="13" t="n">
        <x:v>22</x:v>
      </x:c>
      <x:c r="D23" s="14" t="n">
        <x:v>8.91</x:v>
      </x:c>
      <x:c r="E23" t="str">
        <x:v>SE Ranking related: auto repair marketing agency</x:v>
      </x:c>
      <x:c r="F23" t="str">
        <x:v>https://online.seranking.com/</x:v>
      </x:c>
    </x:row>
    <x:row r="24">
      <x:c r="A24" t="str">
        <x:v>marketing auto</x:v>
      </x:c>
      <x:c r="B24" s="13" t="n">
        <x:v>590</x:v>
      </x:c>
      <x:c r="C24" s="13" t="n">
        <x:v>26</x:v>
      </x:c>
      <x:c r="D24" s="14" t="n">
        <x:v>4.97</x:v>
      </x:c>
      <x:c r="E24" t="str">
        <x:v>SE Ranking related: auto repair marketing agency</x:v>
      </x:c>
      <x:c r="F24" t="str">
        <x:v>https://online.seranking.com/</x:v>
      </x:c>
    </x:row>
    <x:row r="25">
      <x:c r="A25" t="str">
        <x:v>marketing for auto repair</x:v>
      </x:c>
      <x:c r="B25" s="13" t="n">
        <x:v>590</x:v>
      </x:c>
      <x:c r="C25" s="13" t="n">
        <x:v>13</x:v>
      </x:c>
      <x:c r="D25" s="14" t="n">
        <x:v>8.57</x:v>
      </x:c>
      <x:c r="E25" t="str">
        <x:v>SE Ranking tracked keywords; SE Ranking gap: autoshopsolutions.com</x:v>
      </x:c>
      <x:c r="F25" t="str">
        <x:v>https://online.seranking.com/</x:v>
      </x:c>
    </x:row>
    <x:row r="26">
      <x:c r="A26" t="str">
        <x:v>marketing for auto repair shops</x:v>
      </x:c>
      <x:c r="B26" s="13" t="n">
        <x:v>590</x:v>
      </x:c>
      <x:c r="C26" s="13" t="n">
        <x:v>25</x:v>
      </x:c>
      <x:c r="D26" s="14" t="n">
        <x:v>8.57</x:v>
      </x:c>
      <x:c r="E26" t="str">
        <x:v>SE Ranking tracked keywords; SE Ranking gap: autoshopsolutions.com; SE Ranking gap: shopmarketingpros.com; SE Ranking gap: elementdma.com; SE Ranking gap: autoshopdigital.com</x:v>
      </x:c>
      <x:c r="F26" t="str">
        <x:v>https://online.seranking.com/</x:v>
      </x:c>
    </x:row>
    <x:row r="27">
      <x:c r="A27" t="str">
        <x:v>auto mailers</x:v>
      </x:c>
      <x:c r="B27" s="13" t="n">
        <x:v>480</x:v>
      </x:c>
      <x:c r="C27" s="13" t="n">
        <x:v>12</x:v>
      </x:c>
      <x:c r="D27" s="14" t="n">
        <x:v>5.35</x:v>
      </x:c>
      <x:c r="E27" t="str">
        <x:v>SE Ranking related: auto repair direct mail</x:v>
      </x:c>
      <x:c r="F27" t="str">
        <x:v>https://online.seranking.com/</x:v>
      </x:c>
    </x:row>
    <x:row r="28">
      <x:c r="A28" t="str">
        <x:v>auto repair shop SEO</x:v>
      </x:c>
      <x:c r="B28" s="13" t="n">
        <x:v>480</x:v>
      </x:c>
      <x:c r="C28" s="13" t="n">
        <x:v>10</x:v>
      </x:c>
      <x:c r="D28" s="14" t="n">
        <x:v>12.64</x:v>
      </x:c>
      <x:c r="E28" t="str">
        <x:v>SE Ranking tracked keywords; SE Ranking gap: shopmarketingpros.com; SE Ranking gap: elementdma.com; SE Ranking gap: autoshopdigital.com</x:v>
      </x:c>
      <x:c r="F28" t="str">
        <x:v>https://online.seranking.com/</x:v>
      </x:c>
    </x:row>
    <x:row r="29">
      <x:c r="A29" t="str">
        <x:v>automotive mail</x:v>
      </x:c>
      <x:c r="B29" s="13" t="n">
        <x:v>480</x:v>
      </x:c>
      <x:c r="C29" s="13" t="n">
        <x:v>6</x:v>
      </x:c>
      <x:c r="D29" s="14" t="n">
        <x:v>9.42</x:v>
      </x:c>
      <x:c r="E29" t="str">
        <x:v>SE Ranking related: auto repair direct mail</x:v>
      </x:c>
      <x:c r="F29" t="str">
        <x:v>https://online.seranking.com/</x:v>
      </x:c>
    </x:row>
    <x:row r="30">
      <x:c r="A30" t="str">
        <x:v>automotive mailer</x:v>
      </x:c>
      <x:c r="B30" s="13" t="n">
        <x:v>480</x:v>
      </x:c>
      <x:c r="C30" s="13" t="n">
        <x:v>6</x:v>
      </x:c>
      <x:c r="D30" s="14" t="n">
        <x:v>9.42</x:v>
      </x:c>
      <x:c r="E30" t="str">
        <x:v>SE Ranking related: auto repair direct mail</x:v>
      </x:c>
      <x:c r="F30" t="str">
        <x:v>https://online.seranking.com/</x:v>
      </x:c>
    </x:row>
    <x:row r="31">
      <x:c r="A31" t="str">
        <x:v>automotive seo services</x:v>
      </x:c>
      <x:c r="B31" s="13" t="n">
        <x:v>480</x:v>
      </x:c>
      <x:c r="C31" s="13" t="str"/>
      <x:c r="D31" s="14" t="n">
        <x:v>6.75</x:v>
      </x:c>
      <x:c r="E31" t="str">
        <x:v>SE Ranking tracked keywords</x:v>
      </x:c>
      <x:c r="F31" t="str">
        <x:v>https://online.seranking.com/</x:v>
      </x:c>
    </x:row>
    <x:row r="32">
      <x:c r="A32" t="str">
        <x:v>SEO for auto repair shops</x:v>
      </x:c>
      <x:c r="B32" s="13" t="n">
        <x:v>480</x:v>
      </x:c>
      <x:c r="C32" s="13" t="n">
        <x:v>10</x:v>
      </x:c>
      <x:c r="D32" s="14" t="n">
        <x:v>12.64</x:v>
      </x:c>
      <x:c r="E32" t="str">
        <x:v>SE Ranking tracked keywords; SE Ranking gap: autoshopsolutions.com; SE Ranking gap: shopmarketingpros.com</x:v>
      </x:c>
      <x:c r="F32" t="str">
        <x:v>https://online.seranking.com/</x:v>
      </x:c>
    </x:row>
    <x:row r="33">
      <x:c r="A33" t="str">
        <x:v>automotive advertising</x:v>
      </x:c>
      <x:c r="B33" s="13" t="n">
        <x:v>470</x:v>
      </x:c>
      <x:c r="C33" s="13" t="n">
        <x:v>13</x:v>
      </x:c>
      <x:c r="D33" s="14" t="n">
        <x:v>3.53</x:v>
      </x:c>
      <x:c r="E33" t="str">
        <x:v>SE Ranking related: auto repair marketing agency</x:v>
      </x:c>
      <x:c r="F33" t="str">
        <x:v>https://online.seranking.com/</x:v>
      </x:c>
    </x:row>
    <x:row r="34">
      <x:c r="A34" t="str">
        <x:v>auto shop seo</x:v>
      </x:c>
      <x:c r="B34" s="13" t="n">
        <x:v>390</x:v>
      </x:c>
      <x:c r="C34" s="13" t="str"/>
      <x:c r="D34" s="14" t="n">
        <x:v>9.07</x:v>
      </x:c>
      <x:c r="E34" t="str">
        <x:v>SE Ranking tracked keywords</x:v>
      </x:c>
      <x:c r="F34" t="str">
        <x:v>https://online.seranking.com/</x:v>
      </x:c>
    </x:row>
    <x:row r="35">
      <x:c r="A35" t="str">
        <x:v>automotive digital marketing agency</x:v>
      </x:c>
      <x:c r="B35" s="13" t="n">
        <x:v>390</x:v>
      </x:c>
      <x:c r="C35" s="13" t="n">
        <x:v>25</x:v>
      </x:c>
      <x:c r="D35" s="14" t="n">
        <x:v>13.52</x:v>
      </x:c>
      <x:c r="E35" t="str">
        <x:v>SE Ranking tracked keywords; SE Ranking related: auto repair marketing agency</x:v>
      </x:c>
      <x:c r="F35" t="str">
        <x:v>https://online.seranking.com/</x:v>
      </x:c>
    </x:row>
    <x:row r="36">
      <x:c r="A36" t="str">
        <x:v>labor rate on auto repair</x:v>
      </x:c>
      <x:c r="B36" s="13" t="n">
        <x:v>390</x:v>
      </x:c>
      <x:c r="C36" s="13" t="n">
        <x:v>34</x:v>
      </x:c>
      <x:c r="D36" s="14" t="n">
        <x:v>1.54</x:v>
      </x:c>
      <x:c r="E36" t="str">
        <x:v>SE Ranking gap: elementdma.com</x:v>
      </x:c>
      <x:c r="F36" t="str">
        <x:v>https://elementdma.com/tools/labor-rate-calculator/</x:v>
      </x:c>
    </x:row>
    <x:row r="37">
      <x:c r="A37" t="str">
        <x:v>labor rates for auto repair</x:v>
      </x:c>
      <x:c r="B37" s="13" t="n">
        <x:v>390</x:v>
      </x:c>
      <x:c r="C37" s="13" t="n">
        <x:v>21</x:v>
      </x:c>
      <x:c r="D37" s="14" t="n">
        <x:v>1.54</x:v>
      </x:c>
      <x:c r="E37" t="str">
        <x:v>SE Ranking gap: elementdma.com</x:v>
      </x:c>
      <x:c r="F37" t="str">
        <x:v>https://elementdma.com/tools/labor-rate-calculator/</x:v>
      </x:c>
    </x:row>
    <x:row r="38">
      <x:c r="A38" t="str">
        <x:v>labor rates for auto repairs</x:v>
      </x:c>
      <x:c r="B38" s="13" t="n">
        <x:v>390</x:v>
      </x:c>
      <x:c r="C38" s="13" t="n">
        <x:v>31</x:v>
      </x:c>
      <x:c r="D38" s="14" t="n">
        <x:v>1.54</x:v>
      </x:c>
      <x:c r="E38" t="str">
        <x:v>SE Ranking gap: elementdma.com</x:v>
      </x:c>
      <x:c r="F38" t="str">
        <x:v>https://elementdma.com/tools/labor-rate-calculator/</x:v>
      </x:c>
    </x:row>
    <x:row r="39">
      <x:c r="A39" t="str">
        <x:v>seo for auto shops</x:v>
      </x:c>
      <x:c r="B39" s="13" t="n">
        <x:v>390</x:v>
      </x:c>
      <x:c r="C39" s="13" t="str"/>
      <x:c r="D39" s="14" t="n">
        <x:v>9.07</x:v>
      </x:c>
      <x:c r="E39" t="str">
        <x:v>SE Ranking tracked keywords</x:v>
      </x:c>
      <x:c r="F39" t="str">
        <x:v>https://online.seranking.com/</x:v>
      </x:c>
    </x:row>
    <x:row r="40">
      <x:c r="A40" t="str">
        <x:v>advertising auto repair</x:v>
      </x:c>
      <x:c r="B40" s="13" t="n">
        <x:v>320</x:v>
      </x:c>
      <x:c r="C40" s="13" t="n">
        <x:v>17</x:v>
      </x:c>
      <x:c r="D40" s="14" t="n">
        <x:v>5</x:v>
      </x:c>
      <x:c r="E40" t="str">
        <x:v>SE Ranking related: auto repair marketing; SE Ranking related: auto repair marketing agency; SE Ranking related: auto repair marketing plan; SE Ranking related: social media for auto repair shops; SE Ranking gap: autoshopsolutions.com; SE Ranking gap: shopmarketingpros.com</x:v>
      </x:c>
      <x:c r="F40" t="str">
        <x:v>https://online.seranking.com/</x:v>
      </x:c>
    </x:row>
    <x:row r="41">
      <x:c r="A41" t="str">
        <x:v>advertising for auto repair shops</x:v>
      </x:c>
      <x:c r="B41" s="13" t="n">
        <x:v>320</x:v>
      </x:c>
      <x:c r="C41" s="13" t="n">
        <x:v>15</x:v>
      </x:c>
      <x:c r="D41" s="14" t="n">
        <x:v>5</x:v>
      </x:c>
      <x:c r="E41" t="str">
        <x:v>SE Ranking tracked keywords; SE Ranking related: auto repair marketing; SE Ranking related: auto repair marketing agency; SE Ranking related: auto repair marketing plan; SE Ranking related: social media for auto repair shops; SE Ranking related: auto repair customer retention; SE Ranking gap: autoshopsolutions.com; SE Ranking gap: shopmarketingpros.com</x:v>
      </x:c>
      <x:c r="F41" t="str">
        <x:v>https://online.seranking.com/</x:v>
      </x:c>
    </x:row>
    <x:row r="42">
      <x:c r="A42" t="str">
        <x:v>auto repair ad</x:v>
      </x:c>
      <x:c r="B42" s="13" t="n">
        <x:v>320</x:v>
      </x:c>
      <x:c r="C42" s="13" t="n">
        <x:v>11</x:v>
      </x:c>
      <x:c r="D42" s="14" t="n">
        <x:v>4.54</x:v>
      </x:c>
      <x:c r="E42" t="str">
        <x:v>SE Ranking related: auto repair marketing</x:v>
      </x:c>
      <x:c r="F42" t="str">
        <x:v>https://online.seranking.com/</x:v>
      </x:c>
    </x:row>
    <x:row r="43">
      <x:c r="A43" t="str">
        <x:v>auto repair advertisement</x:v>
      </x:c>
      <x:c r="B43" s="13" t="n">
        <x:v>320</x:v>
      </x:c>
      <x:c r="C43" s="13" t="n">
        <x:v>18</x:v>
      </x:c>
      <x:c r="D43" s="14" t="n">
        <x:v>5</x:v>
      </x:c>
      <x:c r="E43" t="str">
        <x:v>SE Ranking related: auto repair marketing</x:v>
      </x:c>
      <x:c r="F43" t="str">
        <x:v>https://online.seranking.com/</x:v>
      </x:c>
    </x:row>
    <x:row r="44">
      <x:c r="A44" t="str">
        <x:v>auto repair advertising</x:v>
      </x:c>
      <x:c r="B44" s="13" t="n">
        <x:v>320</x:v>
      </x:c>
      <x:c r="C44" s="13" t="n">
        <x:v>11</x:v>
      </x:c>
      <x:c r="D44" s="14" t="n">
        <x:v>5</x:v>
      </x:c>
      <x:c r="E44" t="str">
        <x:v>SE Ranking tracked keywords; SE Ranking related: auto repair marketing; SE Ranking related: auto repair marketing agency; SE Ranking related: auto repair marketing plan; SE Ranking related: social media for auto repair shops; SE Ranking gap: autoshopsolutions.com; SE Ranking gap: shopmarketingpros.com</x:v>
      </x:c>
      <x:c r="F44" t="str">
        <x:v>https://online.seranking.com/</x:v>
      </x:c>
    </x:row>
    <x:row r="45">
      <x:c r="A45" t="str">
        <x:v>auto repair shop ads</x:v>
      </x:c>
      <x:c r="B45" s="13" t="n">
        <x:v>320</x:v>
      </x:c>
      <x:c r="C45" s="13" t="n">
        <x:v>17</x:v>
      </x:c>
      <x:c r="D45" s="14" t="n">
        <x:v>5</x:v>
      </x:c>
      <x:c r="E45" t="str">
        <x:v>SE Ranking tracked keywords; SE Ranking related: auto repair marketing; SE Ranking related: auto repair marketing plan</x:v>
      </x:c>
      <x:c r="F45" t="str">
        <x:v>https://online.seranking.com/</x:v>
      </x:c>
    </x:row>
    <x:row r="46">
      <x:c r="A46" t="str">
        <x:v>auto repair shop advertising</x:v>
      </x:c>
      <x:c r="B46" s="13" t="n">
        <x:v>320</x:v>
      </x:c>
      <x:c r="C46" s="13" t="n">
        <x:v>13</x:v>
      </x:c>
      <x:c r="D46" s="14" t="n">
        <x:v>5</x:v>
      </x:c>
      <x:c r="E46" t="str">
        <x:v>SE Ranking tracked keywords; SE Ranking related: auto repair marketing; SE Ranking related: auto repair marketing agency; SE Ranking related: auto repair marketing plan; SE Ranking related: social media for auto repair shops; SE Ranking gap: autoshopsolutions.com; SE Ranking gap: shopmarketingpros.com</x:v>
      </x:c>
      <x:c r="F46" t="str">
        <x:v>https://online.seranking.com/</x:v>
      </x:c>
    </x:row>
    <x:row r="47">
      <x:c r="A47" t="str">
        <x:v>auto repair shop labor rate</x:v>
      </x:c>
      <x:c r="B47" s="13" t="n">
        <x:v>320</x:v>
      </x:c>
      <x:c r="C47" s="13" t="n">
        <x:v>26</x:v>
      </x:c>
      <x:c r="D47" s="14" t="n">
        <x:v>1.71</x:v>
      </x:c>
      <x:c r="E47" t="str">
        <x:v>SE Ranking gap: elementdma.com</x:v>
      </x:c>
      <x:c r="F47" t="str">
        <x:v>https://elementdma.com/tools/labor-rate-calculator/</x:v>
      </x:c>
    </x:row>
    <x:row r="48">
      <x:c r="A48" t="str">
        <x:v>auto repair shop labor rates</x:v>
      </x:c>
      <x:c r="B48" s="13" t="n">
        <x:v>320</x:v>
      </x:c>
      <x:c r="C48" s="13" t="n">
        <x:v>23</x:v>
      </x:c>
      <x:c r="D48" s="14" t="n">
        <x:v>1.71</x:v>
      </x:c>
      <x:c r="E48" t="str">
        <x:v>SE Ranking gap: elementdma.com</x:v>
      </x:c>
      <x:c r="F48" t="str">
        <x:v>https://elementdma.com/tools/labor-rate-calculator/</x:v>
      </x:c>
    </x:row>
    <x:row r="49">
      <x:c r="A49" t="str">
        <x:v>auto repair shop website</x:v>
      </x:c>
      <x:c r="B49" s="13" t="n">
        <x:v>320</x:v>
      </x:c>
      <x:c r="C49" s="13" t="str"/>
      <x:c r="D49" s="14" t="n">
        <x:v>3.9</x:v>
      </x:c>
      <x:c r="E49" t="str">
        <x:v>SE Ranking tracked keywords</x:v>
      </x:c>
      <x:c r="F49" t="str">
        <x:v>https://online.seranking.com/</x:v>
      </x:c>
    </x:row>
    <x:row r="50">
      <x:c r="A50" t="str">
        <x:v>auto repair shops advertising</x:v>
      </x:c>
      <x:c r="B50" s="13" t="n">
        <x:v>320</x:v>
      </x:c>
      <x:c r="C50" s="13" t="n">
        <x:v>17</x:v>
      </x:c>
      <x:c r="D50" s="14" t="n">
        <x:v>4.54</x:v>
      </x:c>
      <x:c r="E50" t="str">
        <x:v>SE Ranking related: auto repair marketing; SE Ranking related: auto repair marketing plan; SE Ranking related: social media for auto repair shops</x:v>
      </x:c>
      <x:c r="F50" t="str">
        <x:v>https://online.seranking.com/</x:v>
      </x:c>
    </x:row>
    <x:row r="51">
      <x:c r="A51" t="str">
        <x:v>auto repair website design</x:v>
      </x:c>
      <x:c r="B51" s="13" t="n">
        <x:v>320</x:v>
      </x:c>
      <x:c r="C51" s="13" t="str"/>
      <x:c r="D51" s="14" t="n">
        <x:v>4.82</x:v>
      </x:c>
      <x:c r="E51" t="str">
        <x:v>SE Ranking tracked keywords</x:v>
      </x:c>
      <x:c r="F51" t="str">
        <x:v>https://online.seranking.com/</x:v>
      </x:c>
    </x:row>
    <x:row r="52">
      <x:c r="A52" t="str">
        <x:v>auto shop ad</x:v>
      </x:c>
      <x:c r="B52" s="13" t="n">
        <x:v>320</x:v>
      </x:c>
      <x:c r="C52" s="13" t="n">
        <x:v>14</x:v>
      </x:c>
      <x:c r="D52" s="14" t="n">
        <x:v>5</x:v>
      </x:c>
      <x:c r="E52" t="str">
        <x:v>SE Ranking related: auto repair marketing; SE Ranking related: auto repair marketing plan</x:v>
      </x:c>
      <x:c r="F52" t="str">
        <x:v>https://online.seranking.com/</x:v>
      </x:c>
    </x:row>
    <x:row r="53">
      <x:c r="A53" t="str">
        <x:v>auto shop advertising</x:v>
      </x:c>
      <x:c r="B53" s="13" t="n">
        <x:v>320</x:v>
      </x:c>
      <x:c r="C53" s="13" t="n">
        <x:v>15</x:v>
      </x:c>
      <x:c r="D53" s="14" t="n">
        <x:v>4.54</x:v>
      </x:c>
      <x:c r="E53" t="str">
        <x:v>SE Ranking related: auto repair marketing; SE Ranking related: auto repair marketing plan; SE Ranking related: social media for auto repair shops</x:v>
      </x:c>
      <x:c r="F53" t="str">
        <x:v>https://online.seranking.com/</x:v>
      </x:c>
    </x:row>
    <x:row r="54">
      <x:c r="A54" t="str">
        <x:v>auto shop website design</x:v>
      </x:c>
      <x:c r="B54" s="13" t="n">
        <x:v>320</x:v>
      </x:c>
      <x:c r="C54" s="13" t="str"/>
      <x:c r="D54" s="14" t="n">
        <x:v>4.73</x:v>
      </x:c>
      <x:c r="E54" t="str">
        <x:v>SE Ranking tracked keywords</x:v>
      </x:c>
      <x:c r="F54" t="str">
        <x:v>https://online.seranking.com/</x:v>
      </x:c>
    </x:row>
    <x:row r="55">
      <x:c r="A55" t="str">
        <x:v>automotive digital marketing agencies</x:v>
      </x:c>
      <x:c r="B55" s="13" t="n">
        <x:v>320</x:v>
      </x:c>
      <x:c r="C55" s="13" t="n">
        <x:v>33</x:v>
      </x:c>
      <x:c r="D55" s="14" t="n">
        <x:v>7.86</x:v>
      </x:c>
      <x:c r="E55" t="str">
        <x:v>SE Ranking related: auto repair marketing agency</x:v>
      </x:c>
      <x:c r="F55" t="str">
        <x:v>https://online.seranking.com/</x:v>
      </x:c>
    </x:row>
    <x:row r="56">
      <x:c r="A56" t="str">
        <x:v>automotive digital marketing companies</x:v>
      </x:c>
      <x:c r="B56" s="13" t="n">
        <x:v>320</x:v>
      </x:c>
      <x:c r="C56" s="13" t="n">
        <x:v>33</x:v>
      </x:c>
      <x:c r="D56" s="14" t="n">
        <x:v>7.86</x:v>
      </x:c>
      <x:c r="E56" t="str">
        <x:v>SE Ranking related: auto repair marketing agency</x:v>
      </x:c>
      <x:c r="F56" t="str">
        <x:v>https://online.seranking.com/</x:v>
      </x:c>
    </x:row>
    <x:row r="57">
      <x:c r="A57" t="str">
        <x:v>automotive digital marketing company</x:v>
      </x:c>
      <x:c r="B57" s="13" t="n">
        <x:v>320</x:v>
      </x:c>
      <x:c r="C57" s="13" t="n">
        <x:v>21</x:v>
      </x:c>
      <x:c r="D57" s="14" t="n">
        <x:v>7.86</x:v>
      </x:c>
      <x:c r="E57" t="str">
        <x:v>SE Ranking related: auto repair marketing agency</x:v>
      </x:c>
      <x:c r="F57" t="str">
        <x:v>https://online.seranking.com/</x:v>
      </x:c>
    </x:row>
    <x:row r="58">
      <x:c r="A58" t="str">
        <x:v>automotive repair ads</x:v>
      </x:c>
      <x:c r="B58" s="13" t="n">
        <x:v>320</x:v>
      </x:c>
      <x:c r="C58" s="13" t="n">
        <x:v>13</x:v>
      </x:c>
      <x:c r="D58" s="14" t="n">
        <x:v>4.54</x:v>
      </x:c>
      <x:c r="E58" t="str">
        <x:v>SE Ranking related: auto repair marketing; SE Ranking related: auto repair marketing plan</x:v>
      </x:c>
      <x:c r="F58" t="str">
        <x:v>https://online.seranking.com/</x:v>
      </x:c>
    </x:row>
    <x:row r="59">
      <x:c r="A59" t="str">
        <x:v>automotive repair advertising</x:v>
      </x:c>
      <x:c r="B59" s="13" t="n">
        <x:v>320</x:v>
      </x:c>
      <x:c r="C59" s="13" t="n">
        <x:v>17</x:v>
      </x:c>
      <x:c r="D59" s="14" t="n">
        <x:v>4.54</x:v>
      </x:c>
      <x:c r="E59" t="str">
        <x:v>SE Ranking related: auto repair marketing; SE Ranking related: auto repair marketing agency; SE Ranking related: auto repair marketing plan; SE Ranking related: social media for auto repair shops</x:v>
      </x:c>
      <x:c r="F59" t="str">
        <x:v>https://online.seranking.com/</x:v>
      </x:c>
    </x:row>
    <x:row r="60">
      <x:c r="A60" t="str">
        <x:v>automotive repair shop advertising</x:v>
      </x:c>
      <x:c r="B60" s="13" t="n">
        <x:v>320</x:v>
      </x:c>
      <x:c r="C60" s="13" t="n">
        <x:v>19</x:v>
      </x:c>
      <x:c r="D60" s="14" t="n">
        <x:v>4.54</x:v>
      </x:c>
      <x:c r="E60" t="str">
        <x:v>SE Ranking related: auto repair marketing; SE Ranking related: auto repair marketing plan; SE Ranking related: social media for auto repair shops</x:v>
      </x:c>
      <x:c r="F60" t="str">
        <x:v>https://online.seranking.com/</x:v>
      </x:c>
    </x:row>
    <x:row r="61">
      <x:c r="A61" t="str">
        <x:v>automotive repair website design</x:v>
      </x:c>
      <x:c r="B61" s="13" t="n">
        <x:v>320</x:v>
      </x:c>
      <x:c r="C61" s="13" t="str"/>
      <x:c r="D61" s="14" t="n">
        <x:v>4.73</x:v>
      </x:c>
      <x:c r="E61" t="str">
        <x:v>SE Ranking tracked keywords</x:v>
      </x:c>
      <x:c r="F61" t="str">
        <x:v>https://online.seranking.com/</x:v>
      </x:c>
    </x:row>
    <x:row r="62">
      <x:c r="A62" t="str">
        <x:v>automotive shop advertising</x:v>
      </x:c>
      <x:c r="B62" s="13" t="n">
        <x:v>320</x:v>
      </x:c>
      <x:c r="C62" s="13" t="n">
        <x:v>10</x:v>
      </x:c>
      <x:c r="D62" s="14" t="n">
        <x:v>4.54</x:v>
      </x:c>
      <x:c r="E62" t="str">
        <x:v>SE Ranking related: auto repair marketing; SE Ranking related: auto repair marketing agency; SE Ranking related: auto repair marketing plan; SE Ranking related: social media for auto repair shops</x:v>
      </x:c>
      <x:c r="F62" t="str">
        <x:v>https://online.seranking.com/</x:v>
      </x:c>
    </x:row>
    <x:row r="63">
      <x:c r="A63" t="str">
        <x:v>car repair ad</x:v>
      </x:c>
      <x:c r="B63" s="13" t="n">
        <x:v>320</x:v>
      </x:c>
      <x:c r="C63" s="13" t="n">
        <x:v>6</x:v>
      </x:c>
      <x:c r="D63" s="14" t="n">
        <x:v>4.54</x:v>
      </x:c>
      <x:c r="E63" t="str">
        <x:v>SE Ranking related: auto repair marketing</x:v>
      </x:c>
      <x:c r="F63" t="str">
        <x:v>https://online.seranking.com/</x:v>
      </x:c>
    </x:row>
    <x:row r="64">
      <x:c r="A64" t="str">
        <x:v>car repair ads</x:v>
      </x:c>
      <x:c r="B64" s="13" t="n">
        <x:v>320</x:v>
      </x:c>
      <x:c r="C64" s="13" t="n">
        <x:v>6</x:v>
      </x:c>
      <x:c r="D64" s="14" t="n">
        <x:v>5</x:v>
      </x:c>
      <x:c r="E64" t="str">
        <x:v>SE Ranking related: auto repair marketing</x:v>
      </x:c>
      <x:c r="F64" t="str">
        <x:v>https://online.seranking.com/</x:v>
      </x:c>
    </x:row>
    <x:row r="65">
      <x:c r="A65" t="str">
        <x:v>car repair advertising</x:v>
      </x:c>
      <x:c r="B65" s="13" t="n">
        <x:v>320</x:v>
      </x:c>
      <x:c r="C65" s="13" t="n">
        <x:v>10</x:v>
      </x:c>
      <x:c r="D65" s="14" t="n">
        <x:v>4.54</x:v>
      </x:c>
      <x:c r="E65" t="str">
        <x:v>SE Ranking related: auto repair marketing; SE Ranking related: auto repair marketing plan; SE Ranking related: social media for auto repair shops</x:v>
      </x:c>
      <x:c r="F65" t="str">
        <x:v>https://online.seranking.com/</x:v>
      </x:c>
    </x:row>
    <x:row r="66">
      <x:c r="A66" t="str">
        <x:v>digital marketing agency automotive</x:v>
      </x:c>
      <x:c r="B66" s="13" t="n">
        <x:v>320</x:v>
      </x:c>
      <x:c r="C66" s="13" t="n">
        <x:v>33</x:v>
      </x:c>
      <x:c r="D66" s="14" t="n">
        <x:v>7.86</x:v>
      </x:c>
      <x:c r="E66" t="str">
        <x:v>SE Ranking related: auto repair marketing agency</x:v>
      </x:c>
      <x:c r="F66" t="str">
        <x:v>https://online.seranking.com/</x:v>
      </x:c>
    </x:row>
    <x:row r="67">
      <x:c r="A67" t="str">
        <x:v>labor rate auto repair</x:v>
      </x:c>
      <x:c r="B67" s="13" t="n">
        <x:v>320</x:v>
      </x:c>
      <x:c r="C67" s="13" t="n">
        <x:v>27</x:v>
      </x:c>
      <x:c r="D67" s="14" t="n">
        <x:v>1.83</x:v>
      </x:c>
      <x:c r="E67" t="str">
        <x:v>SE Ranking gap: elementdma.com</x:v>
      </x:c>
      <x:c r="F67" t="str">
        <x:v>https://elementdma.com/tools/labor-rate-calculator/</x:v>
      </x:c>
    </x:row>
    <x:row r="68">
      <x:c r="A68" t="str">
        <x:v>labor rate for auto repair</x:v>
      </x:c>
      <x:c r="B68" s="13" t="n">
        <x:v>320</x:v>
      </x:c>
      <x:c r="C68" s="13" t="n">
        <x:v>28</x:v>
      </x:c>
      <x:c r="D68" s="14" t="n">
        <x:v>1.71</x:v>
      </x:c>
      <x:c r="E68" t="str">
        <x:v>SE Ranking gap: elementdma.com</x:v>
      </x:c>
      <x:c r="F68" t="str">
        <x:v>https://elementdma.com/tools/labor-rate-calculator/</x:v>
      </x:c>
    </x:row>
    <x:row r="69">
      <x:c r="A69" t="str">
        <x:v>seo for auto repair</x:v>
      </x:c>
      <x:c r="B69" s="13" t="n">
        <x:v>320</x:v>
      </x:c>
      <x:c r="C69" s="13" t="n">
        <x:v>9</x:v>
      </x:c>
      <x:c r="D69" s="14" t="n">
        <x:v>3.76</x:v>
      </x:c>
      <x:c r="E69" t="str">
        <x:v>SE Ranking gap: autoshopsolutions.com; SE Ranking gap: shopmarketingpros.com; SE Ranking gap: elementdma.com; SE Ranking gap: autoshopdigital.com</x:v>
      </x:c>
      <x:c r="F69" t="str">
        <x:v>https://autoshopsolutions.com/rpm/seo/</x:v>
      </x:c>
    </x:row>
    <x:row r="70">
      <x:c r="A70" t="str">
        <x:v>seo for auto repair shop</x:v>
      </x:c>
      <x:c r="B70" s="13" t="n">
        <x:v>320</x:v>
      </x:c>
      <x:c r="C70" s="13" t="n">
        <x:v>9</x:v>
      </x:c>
      <x:c r="D70" s="14" t="n">
        <x:v>3.76</x:v>
      </x:c>
      <x:c r="E70" t="str">
        <x:v>SE Ranking gap: autoshopsolutions.com; SE Ranking gap: shopmarketingpros.com; SE Ranking gap: autoshopdigital.com</x:v>
      </x:c>
      <x:c r="F70" t="str">
        <x:v>https://autoshopsolutions.com/blog/</x:v>
      </x:c>
    </x:row>
    <x:row r="71">
      <x:c r="A71" t="str">
        <x:v>auto marketing agency</x:v>
      </x:c>
      <x:c r="B71" s="13" t="n">
        <x:v>260</x:v>
      </x:c>
      <x:c r="C71" s="13" t="n">
        <x:v>28</x:v>
      </x:c>
      <x:c r="D71" s="14" t="n">
        <x:v>9.34</x:v>
      </x:c>
      <x:c r="E71" t="str">
        <x:v>SE Ranking tracked keywords; SE Ranking related: auto repair marketing agency</x:v>
      </x:c>
      <x:c r="F71" t="str">
        <x:v>https://online.seranking.com/</x:v>
      </x:c>
    </x:row>
    <x:row r="72">
      <x:c r="A72" t="str">
        <x:v>auto repair marketing</x:v>
      </x:c>
      <x:c r="B72" s="13" t="n">
        <x:v>260</x:v>
      </x:c>
      <x:c r="C72" s="13" t="n">
        <x:v>35</x:v>
      </x:c>
      <x:c r="D72" s="14" t="n">
        <x:v>8.57</x:v>
      </x:c>
      <x:c r="E72" t="str">
        <x:v>SE Ranking tracked keywords; SE Ranking related: auto repair customer retention; SE Ranking gap: autoshopsolutions.com; SE Ranking gap: shopmarketingpros.com; SE Ranking gap: elementdma.com</x:v>
      </x:c>
      <x:c r="F72" t="str">
        <x:v>https://online.seranking.com/</x:v>
      </x:c>
    </x:row>
    <x:row r="73">
      <x:c r="A73" t="str">
        <x:v>automotive agency</x:v>
      </x:c>
      <x:c r="B73" s="13" t="n">
        <x:v>260</x:v>
      </x:c>
      <x:c r="C73" s="13" t="n">
        <x:v>16</x:v>
      </x:c>
      <x:c r="D73" s="14" t="n">
        <x:v>3.06</x:v>
      </x:c>
      <x:c r="E73" t="str">
        <x:v>SE Ranking related: auto repair marketing agency</x:v>
      </x:c>
      <x:c r="F73" t="str">
        <x:v>https://online.seranking.com/</x:v>
      </x:c>
    </x:row>
    <x:row r="74">
      <x:c r="A74" t="str">
        <x:v>automotive marketing agency</x:v>
      </x:c>
      <x:c r="B74" s="13" t="n">
        <x:v>260</x:v>
      </x:c>
      <x:c r="C74" s="13" t="n">
        <x:v>22</x:v>
      </x:c>
      <x:c r="D74" s="14" t="n">
        <x:v>9.34</x:v>
      </x:c>
      <x:c r="E74" t="str">
        <x:v>SE Ranking tracked keywords; SE Ranking related: auto repair marketing agency</x:v>
      </x:c>
      <x:c r="F74" t="str">
        <x:v>https://online.seranking.com/</x:v>
      </x:c>
    </x:row>
    <x:row r="75">
      <x:c r="A75" t="str">
        <x:v>automotive repair marketing</x:v>
      </x:c>
      <x:c r="B75" s="13" t="n">
        <x:v>260</x:v>
      </x:c>
      <x:c r="C75" s="13" t="str"/>
      <x:c r="D75" s="14" t="n">
        <x:v>7.7</x:v>
      </x:c>
      <x:c r="E75" t="str">
        <x:v>SE Ranking tracked keywords</x:v>
      </x:c>
      <x:c r="F75" t="str">
        <x:v>https://online.seranking.com/</x:v>
      </x:c>
    </x:row>
    <x:row r="76">
      <x:c r="A76" t="str">
        <x:v>average auto repair shop labor rates</x:v>
      </x:c>
      <x:c r="B76" s="13" t="n">
        <x:v>260</x:v>
      </x:c>
      <x:c r="C76" s="13" t="n">
        <x:v>14</x:v>
      </x:c>
      <x:c r="D76" s="14" t="n">
        <x:v>1.75</x:v>
      </x:c>
      <x:c r="E76" t="str">
        <x:v>SE Ranking gap: elementdma.com</x:v>
      </x:c>
      <x:c r="F76" t="str">
        <x:v>https://elementdma.com/tools/labor-rate-calculator/</x:v>
      </x:c>
    </x:row>
    <x:row r="77">
      <x:c r="A77" t="str">
        <x:v>average labor rate for auto repair</x:v>
      </x:c>
      <x:c r="B77" s="13" t="n">
        <x:v>260</x:v>
      </x:c>
      <x:c r="C77" s="13" t="n">
        <x:v>17</x:v>
      </x:c>
      <x:c r="D77" s="14" t="n">
        <x:v>1.71</x:v>
      </x:c>
      <x:c r="E77" t="str">
        <x:v>SE Ranking gap: elementdma.com</x:v>
      </x:c>
      <x:c r="F77" t="str">
        <x:v>https://elementdma.com/tools/labor-rate-calculator/</x:v>
      </x:c>
    </x:row>
    <x:row r="78">
      <x:c r="A78" t="str">
        <x:v>average labor rates for auto repair</x:v>
      </x:c>
      <x:c r="B78" s="13" t="n">
        <x:v>260</x:v>
      </x:c>
      <x:c r="C78" s="13" t="n">
        <x:v>20</x:v>
      </x:c>
      <x:c r="D78" s="14" t="n">
        <x:v>1.75</x:v>
      </x:c>
      <x:c r="E78" t="str">
        <x:v>SE Ranking gap: elementdma.com</x:v>
      </x:c>
      <x:c r="F78" t="str">
        <x:v>https://elementdma.com/tools/labor-rate-calculator/</x:v>
      </x:c>
    </x:row>
    <x:row r="79">
      <x:c r="A79" t="str">
        <x:v>car direct mailer</x:v>
      </x:c>
      <x:c r="B79" s="13" t="n">
        <x:v>260</x:v>
      </x:c>
      <x:c r="C79" s="13" t="n">
        <x:v>5</x:v>
      </x:c>
      <x:c r="D79" s="14" t="n">
        <x:v>0</x:v>
      </x:c>
      <x:c r="E79" t="str">
        <x:v>SE Ranking related: auto repair direct mail</x:v>
      </x:c>
      <x:c r="F79" t="str">
        <x:v>https://online.seranking.com/</x:v>
      </x:c>
    </x:row>
    <x:row r="80">
      <x:c r="A80" t="str">
        <x:v>auto direct mailer</x:v>
      </x:c>
      <x:c r="B80" s="13" t="n">
        <x:v>210</x:v>
      </x:c>
      <x:c r="C80" s="13" t="n">
        <x:v>6</x:v>
      </x:c>
      <x:c r="D80" s="14" t="n">
        <x:v>13.11</x:v>
      </x:c>
      <x:c r="E80" t="str">
        <x:v>SE Ranking related: auto repair direct mail</x:v>
      </x:c>
      <x:c r="F80" t="str">
        <x:v>https://online.seranking.com/</x:v>
      </x:c>
    </x:row>
    <x:row r="81">
      <x:c r="A81" t="str">
        <x:v>auto marketing solutions</x:v>
      </x:c>
      <x:c r="B81" s="13" t="n">
        <x:v>210</x:v>
      </x:c>
      <x:c r="C81" s="13" t="n">
        <x:v>6</x:v>
      </x:c>
      <x:c r="D81" s="14" t="n">
        <x:v>2.59</x:v>
      </x:c>
      <x:c r="E81" t="str">
        <x:v>SE Ranking related: auto repair marketing agency</x:v>
      </x:c>
      <x:c r="F81" t="str">
        <x:v>https://online.seranking.com/</x:v>
      </x:c>
    </x:row>
    <x:row r="82">
      <x:c r="A82" t="str">
        <x:v>auto repair advertising ideas</x:v>
      </x:c>
      <x:c r="B82" s="13" t="n">
        <x:v>210</x:v>
      </x:c>
      <x:c r="C82" s="13" t="n">
        <x:v>19</x:v>
      </x:c>
      <x:c r="D82" s="14" t="n">
        <x:v>0</x:v>
      </x:c>
      <x:c r="E82" t="str">
        <x:v>SE Ranking related: auto repair marketing; SE Ranking related: auto repair marketing plan; SE Ranking related: social media for auto repair shops; SE Ranking gap: shopmarketingpros.com; SE Ranking gap: elementdma.com</x:v>
      </x:c>
      <x:c r="F82" t="str">
        <x:v>https://online.seranking.com/</x:v>
      </x:c>
    </x:row>
    <x:row r="83">
      <x:c r="A83" t="str">
        <x:v>auto repair shop advertising ideas</x:v>
      </x:c>
      <x:c r="B83" s="13" t="n">
        <x:v>210</x:v>
      </x:c>
      <x:c r="C83" s="13" t="n">
        <x:v>20</x:v>
      </x:c>
      <x:c r="D83" s="14" t="n">
        <x:v>0</x:v>
      </x:c>
      <x:c r="E83" t="str">
        <x:v>SE Ranking related: auto repair marketing; SE Ranking related: auto repair marketing plan; SE Ranking related: social media for auto repair shops; SE Ranking related: auto repair customer retention; SE Ranking gap: shopmarketingpros.com; SE Ranking gap: elementdma.com</x:v>
      </x:c>
      <x:c r="F83" t="str">
        <x:v>https://online.seranking.com/</x:v>
      </x:c>
    </x:row>
    <x:row r="84">
      <x:c r="A84" t="str">
        <x:v>automobile direct mail</x:v>
      </x:c>
      <x:c r="B84" s="13" t="n">
        <x:v>210</x:v>
      </x:c>
      <x:c r="C84" s="13" t="n">
        <x:v>5</x:v>
      </x:c>
      <x:c r="D84" s="14" t="n">
        <x:v>13.11</x:v>
      </x:c>
      <x:c r="E84" t="str">
        <x:v>SE Ranking related: auto repair direct mail</x:v>
      </x:c>
      <x:c r="F84" t="str">
        <x:v>https://online.seranking.com/</x:v>
      </x:c>
    </x:row>
    <x:row r="85">
      <x:c r="A85" t="str">
        <x:v>automobile marketing agency</x:v>
      </x:c>
      <x:c r="B85" s="13" t="n">
        <x:v>210</x:v>
      </x:c>
      <x:c r="C85" s="13" t="n">
        <x:v>16</x:v>
      </x:c>
      <x:c r="D85" s="14" t="n">
        <x:v>6</x:v>
      </x:c>
      <x:c r="E85" t="str">
        <x:v>SE Ranking related: auto repair marketing agency</x:v>
      </x:c>
      <x:c r="F85" t="str">
        <x:v>https://online.seranking.com/</x:v>
      </x:c>
    </x:row>
    <x:row r="86">
      <x:c r="A86" t="str">
        <x:v>automotive digital</x:v>
      </x:c>
      <x:c r="B86" s="13" t="n">
        <x:v>210</x:v>
      </x:c>
      <x:c r="C86" s="13" t="n">
        <x:v>24</x:v>
      </x:c>
      <x:c r="D86" s="14" t="n">
        <x:v>4.13</x:v>
      </x:c>
      <x:c r="E86" t="str">
        <x:v>SE Ranking related: auto repair marketing agency</x:v>
      </x:c>
      <x:c r="F86" t="str">
        <x:v>https://online.seranking.com/</x:v>
      </x:c>
    </x:row>
    <x:row r="87">
      <x:c r="A87" t="str">
        <x:v>automotive direct mail</x:v>
      </x:c>
      <x:c r="B87" s="13" t="n">
        <x:v>210</x:v>
      </x:c>
      <x:c r="C87" s="13" t="n">
        <x:v>5</x:v>
      </x:c>
      <x:c r="D87" s="14" t="n">
        <x:v>13.11</x:v>
      </x:c>
      <x:c r="E87" t="str">
        <x:v>SE Ranking related: auto repair direct mail</x:v>
      </x:c>
      <x:c r="F87" t="str">
        <x:v>https://online.seranking.com/</x:v>
      </x:c>
    </x:row>
    <x:row r="88">
      <x:c r="A88" t="str">
        <x:v>automotive direct mail advertising</x:v>
      </x:c>
      <x:c r="B88" s="13" t="n">
        <x:v>210</x:v>
      </x:c>
      <x:c r="C88" s="13" t="n">
        <x:v>5</x:v>
      </x:c>
      <x:c r="D88" s="14" t="n">
        <x:v>13.11</x:v>
      </x:c>
      <x:c r="E88" t="str">
        <x:v>SE Ranking related: auto repair direct mail</x:v>
      </x:c>
      <x:c r="F88" t="str">
        <x:v>https://online.seranking.com/</x:v>
      </x:c>
    </x:row>
    <x:row r="89">
      <x:c r="A89" t="str">
        <x:v>automotive direct mailers</x:v>
      </x:c>
      <x:c r="B89" s="13" t="n">
        <x:v>210</x:v>
      </x:c>
      <x:c r="C89" s="13" t="n">
        <x:v>4</x:v>
      </x:c>
      <x:c r="D89" s="14" t="n">
        <x:v>13.11</x:v>
      </x:c>
      <x:c r="E89" t="str">
        <x:v>SE Ranking related: auto repair direct mail</x:v>
      </x:c>
      <x:c r="F89" t="str">
        <x:v>https://online.seranking.com/</x:v>
      </x:c>
    </x:row>
    <x:row r="90">
      <x:c r="A90" t="str">
        <x:v>automotive marketing companies</x:v>
      </x:c>
      <x:c r="B90" s="13" t="n">
        <x:v>210</x:v>
      </x:c>
      <x:c r="C90" s="13" t="n">
        <x:v>24</x:v>
      </x:c>
      <x:c r="D90" s="14" t="n">
        <x:v>8.18</x:v>
      </x:c>
      <x:c r="E90" t="str">
        <x:v>SE Ranking related: auto repair marketing agency</x:v>
      </x:c>
      <x:c r="F90" t="str">
        <x:v>https://online.seranking.com/</x:v>
      </x:c>
    </x:row>
    <x:row r="91">
      <x:c r="A91" t="str">
        <x:v>automotive marketing services</x:v>
      </x:c>
      <x:c r="B91" s="13" t="n">
        <x:v>210</x:v>
      </x:c>
      <x:c r="C91" s="13" t="n">
        <x:v>11</x:v>
      </x:c>
      <x:c r="D91" s="14" t="n">
        <x:v>7.04</x:v>
      </x:c>
      <x:c r="E91" t="str">
        <x:v>SE Ranking tracked keywords; SE Ranking related: auto repair marketing agency</x:v>
      </x:c>
      <x:c r="F91" t="str">
        <x:v>https://online.seranking.com/</x:v>
      </x:c>
    </x:row>
    <x:row r="92">
      <x:c r="A92" t="str">
        <x:v>automotive marketing solution</x:v>
      </x:c>
      <x:c r="B92" s="13" t="n">
        <x:v>210</x:v>
      </x:c>
      <x:c r="C92" s="13" t="n">
        <x:v>8</x:v>
      </x:c>
      <x:c r="D92" s="14" t="n">
        <x:v>2.59</x:v>
      </x:c>
      <x:c r="E92" t="str">
        <x:v>SE Ranking related: auto repair marketing agency</x:v>
      </x:c>
      <x:c r="F92" t="str">
        <x:v>https://online.seranking.com/</x:v>
      </x:c>
    </x:row>
    <x:row r="93">
      <x:c r="A93" t="str">
        <x:v>automotive marketing solutions</x:v>
      </x:c>
      <x:c r="B93" s="13" t="n">
        <x:v>210</x:v>
      </x:c>
      <x:c r="C93" s="13" t="n">
        <x:v>9</x:v>
      </x:c>
      <x:c r="D93" s="14" t="n">
        <x:v>2.59</x:v>
      </x:c>
      <x:c r="E93" t="str">
        <x:v>SE Ranking related: auto repair marketing agency</x:v>
      </x:c>
      <x:c r="F93" t="str">
        <x:v>https://online.seranking.com/</x:v>
      </x:c>
    </x:row>
    <x:row r="94">
      <x:c r="A94" t="str">
        <x:v>automotive repair advertising ideas</x:v>
      </x:c>
      <x:c r="B94" s="13" t="n">
        <x:v>210</x:v>
      </x:c>
      <x:c r="C94" s="13" t="n">
        <x:v>19</x:v>
      </x:c>
      <x:c r="D94" s="14" t="n">
        <x:v>0</x:v>
      </x:c>
      <x:c r="E94" t="str">
        <x:v>SE Ranking related: auto repair marketing; SE Ranking related: auto repair marketing plan; SE Ranking related: auto repair direct mail; SE Ranking related: social media for auto repair shops</x:v>
      </x:c>
      <x:c r="F94" t="str">
        <x:v>https://online.seranking.com/</x:v>
      </x:c>
    </x:row>
    <x:row r="95">
      <x:c r="A95" t="str">
        <x:v>car direct mail</x:v>
      </x:c>
      <x:c r="B95" s="13" t="n">
        <x:v>210</x:v>
      </x:c>
      <x:c r="C95" s="13" t="n">
        <x:v>5</x:v>
      </x:c>
      <x:c r="D95" s="14" t="n">
        <x:v>11.55</x:v>
      </x:c>
      <x:c r="E95" t="str">
        <x:v>SE Ranking related: auto repair direct mail</x:v>
      </x:c>
      <x:c r="F95" t="str">
        <x:v>https://online.seranking.com/</x:v>
      </x:c>
    </x:row>
    <x:row r="96">
      <x:c r="A96" t="str">
        <x:v>car marketing agency</x:v>
      </x:c>
      <x:c r="B96" s="13" t="n">
        <x:v>210</x:v>
      </x:c>
      <x:c r="C96" s="13" t="n">
        <x:v>22</x:v>
      </x:c>
      <x:c r="D96" s="14" t="n">
        <x:v>6</x:v>
      </x:c>
      <x:c r="E96" t="str">
        <x:v>SE Ranking related: auto repair marketing agency</x:v>
      </x:c>
      <x:c r="F96" t="str">
        <x:v>https://online.seranking.com/</x:v>
      </x:c>
    </x:row>
    <x:row r="97">
      <x:c r="A97" t="str">
        <x:v>car repair advertising ideas</x:v>
      </x:c>
      <x:c r="B97" s="13" t="n">
        <x:v>210</x:v>
      </x:c>
      <x:c r="C97" s="13" t="n">
        <x:v>19</x:v>
      </x:c>
      <x:c r="D97" s="14" t="n">
        <x:v>0</x:v>
      </x:c>
      <x:c r="E97" t="str">
        <x:v>SE Ranking related: auto repair marketing; SE Ranking related: auto repair marketing plan; SE Ranking related: social media for auto repair shops</x:v>
      </x:c>
      <x:c r="F97" t="str">
        <x:v>https://online.seranking.com/</x:v>
      </x:c>
    </x:row>
    <x:row r="98">
      <x:c r="A98" t="str">
        <x:v>direct mail advertising automotive</x:v>
      </x:c>
      <x:c r="B98" s="13" t="n">
        <x:v>210</x:v>
      </x:c>
      <x:c r="C98" s="13" t="n">
        <x:v>5</x:v>
      </x:c>
      <x:c r="D98" s="14" t="n">
        <x:v>13.11</x:v>
      </x:c>
      <x:c r="E98" t="str">
        <x:v>SE Ranking related: auto repair direct mail</x:v>
      </x:c>
      <x:c r="F98" t="str">
        <x:v>https://online.seranking.com/</x:v>
      </x:c>
    </x:row>
    <x:row r="99">
      <x:c r="A99" t="str">
        <x:v>direct mail auto</x:v>
      </x:c>
      <x:c r="B99" s="13" t="n">
        <x:v>210</x:v>
      </x:c>
      <x:c r="C99" s="13" t="n">
        <x:v>6</x:v>
      </x:c>
      <x:c r="D99" s="14" t="n">
        <x:v>13.11</x:v>
      </x:c>
      <x:c r="E99" t="str">
        <x:v>SE Ranking related: auto repair direct mail</x:v>
      </x:c>
      <x:c r="F99" t="str">
        <x:v>https://online.seranking.com/</x:v>
      </x:c>
    </x:row>
    <x:row r="100">
      <x:c r="A100" t="str">
        <x:v>direct mail automotive</x:v>
      </x:c>
      <x:c r="B100" s="13" t="n">
        <x:v>210</x:v>
      </x:c>
      <x:c r="C100" s="13" t="n">
        <x:v>5</x:v>
      </x:c>
      <x:c r="D100" s="14" t="n">
        <x:v>13.11</x:v>
      </x:c>
      <x:c r="E100" t="str">
        <x:v>SE Ranking related: auto repair direct mail</x:v>
      </x:c>
      <x:c r="F100" t="str">
        <x:v>https://online.seranking.com/</x:v>
      </x:c>
    </x:row>
    <x:row r="101">
      <x:c r="A101" t="str">
        <x:v>direct mail car</x:v>
      </x:c>
      <x:c r="B101" s="13" t="n">
        <x:v>210</x:v>
      </x:c>
      <x:c r="C101" s="13" t="n">
        <x:v>5</x:v>
      </x:c>
      <x:c r="D101" s="14" t="n">
        <x:v>13.11</x:v>
      </x:c>
      <x:c r="E101" t="str">
        <x:v>SE Ranking related: auto repair direct mail</x:v>
      </x:c>
      <x:c r="F101" t="str">
        <x:v>https://online.seranking.com/</x:v>
      </x:c>
    </x:row>
    <x:row r="102">
      <x:c r="A102" t="str">
        <x:v>direct mail for automotive</x:v>
      </x:c>
      <x:c r="B102" s="13" t="n">
        <x:v>210</x:v>
      </x:c>
      <x:c r="C102" s="13" t="n">
        <x:v>6</x:v>
      </x:c>
      <x:c r="D102" s="14" t="n">
        <x:v>13.11</x:v>
      </x:c>
      <x:c r="E102" t="str">
        <x:v>SE Ranking related: auto repair direct mail</x:v>
      </x:c>
      <x:c r="F102" t="str">
        <x:v>https://online.seranking.com/</x:v>
      </x:c>
    </x:row>
    <x:row r="103">
      <x:c r="A103" t="str">
        <x:v>marketing car</x:v>
      </x:c>
      <x:c r="B103" s="13" t="n">
        <x:v>210</x:v>
      </x:c>
      <x:c r="C103" s="13" t="n">
        <x:v>16</x:v>
      </x:c>
      <x:c r="D103" s="14" t="n">
        <x:v>4.26</x:v>
      </x:c>
      <x:c r="E103" t="str">
        <x:v>SE Ranking related: auto repair marketing agency</x:v>
      </x:c>
      <x:c r="F103" t="str">
        <x:v>https://online.seranking.com/</x:v>
      </x:c>
    </x:row>
    <x:row r="104">
      <x:c r="A104" t="str">
        <x:v>advertising agencies automotive industry</x:v>
      </x:c>
      <x:c r="B104" s="13" t="n">
        <x:v>170</x:v>
      </x:c>
      <x:c r="C104" s="13" t="n">
        <x:v>25</x:v>
      </x:c>
      <x:c r="D104" s="14" t="n">
        <x:v>7.54</x:v>
      </x:c>
      <x:c r="E104" t="str">
        <x:v>SE Ranking related: auto repair marketing agency</x:v>
      </x:c>
      <x:c r="F104" t="str">
        <x:v>https://online.seranking.com/</x:v>
      </x:c>
    </x:row>
    <x:row r="105">
      <x:c r="A105" t="str">
        <x:v>auto body shop business plan</x:v>
      </x:c>
      <x:c r="B105" s="13" t="n">
        <x:v>170</x:v>
      </x:c>
      <x:c r="C105" s="13" t="n">
        <x:v>10</x:v>
      </x:c>
      <x:c r="D105" s="14" t="n">
        <x:v>2.95</x:v>
      </x:c>
      <x:c r="E105" t="str">
        <x:v>SE Ranking related: auto repair marketing plan</x:v>
      </x:c>
      <x:c r="F105" t="str">
        <x:v>https://online.seranking.com/</x:v>
      </x:c>
    </x:row>
    <x:row r="106">
      <x:c r="A106" t="str">
        <x:v>auto marketing agencies</x:v>
      </x:c>
      <x:c r="B106" s="13" t="n">
        <x:v>170</x:v>
      </x:c>
      <x:c r="C106" s="13" t="n">
        <x:v>22</x:v>
      </x:c>
      <x:c r="D106" s="14" t="n">
        <x:v>7.54</x:v>
      </x:c>
      <x:c r="E106" t="str">
        <x:v>SE Ranking related: auto repair marketing agency</x:v>
      </x:c>
      <x:c r="F106" t="str">
        <x:v>https://online.seranking.com/</x:v>
      </x:c>
    </x:row>
    <x:row r="107">
      <x:c r="A107" t="str">
        <x:v>auto repair labor rates near me</x:v>
      </x:c>
      <x:c r="B107" s="13" t="n">
        <x:v>170</x:v>
      </x:c>
      <x:c r="C107" s="13" t="n">
        <x:v>35</x:v>
      </x:c>
      <x:c r="D107" s="14" t="n">
        <x:v>1.26</x:v>
      </x:c>
      <x:c r="E107" t="str">
        <x:v>SE Ranking gap: elementdma.com</x:v>
      </x:c>
      <x:c r="F107" t="str">
        <x:v>https://elementdma.com/tools/labor-rate-calculator/</x:v>
      </x:c>
    </x:row>
    <x:row r="108">
      <x:c r="A108" t="str">
        <x:v>auto repair marketing ideas</x:v>
      </x:c>
      <x:c r="B108" s="13" t="n">
        <x:v>170</x:v>
      </x:c>
      <x:c r="C108" s="13" t="n">
        <x:v>20</x:v>
      </x:c>
      <x:c r="D108" s="14" t="n">
        <x:v>3.94</x:v>
      </x:c>
      <x:c r="E108" t="str">
        <x:v>SE Ranking tracked keywords; SE Ranking related: auto repair marketing; SE Ranking related: auto repair marketing plan; SE Ranking related: social media for auto repair shops; SE Ranking gap: shopmarketingpros.com; SE Ranking gap: elementdma.com</x:v>
      </x:c>
      <x:c r="F108" t="str">
        <x:v>https://online.seranking.com/</x:v>
      </x:c>
    </x:row>
    <x:row r="109">
      <x:c r="A109" t="str">
        <x:v>auto repair SEO</x:v>
      </x:c>
      <x:c r="B109" s="13" t="n">
        <x:v>170</x:v>
      </x:c>
      <x:c r="C109" s="13" t="n">
        <x:v>12</x:v>
      </x:c>
      <x:c r="D109" s="14" t="n">
        <x:v>17</x:v>
      </x:c>
      <x:c r="E109" t="str">
        <x:v>SE Ranking tracked keywords; SE Ranking related: auto repair marketing; SE Ranking gap: autoshopsolutions.com; SE Ranking gap: shopmarketingpros.com; SE Ranking gap: elementdma.com; SE Ranking gap: autoshopdigital.com</x:v>
      </x:c>
      <x:c r="F109" t="str">
        <x:v>https://online.seranking.com/</x:v>
      </x:c>
    </x:row>
    <x:row r="110">
      <x:c r="A110" t="str">
        <x:v>auto repair shop marketing ideas</x:v>
      </x:c>
      <x:c r="B110" s="13" t="n">
        <x:v>170</x:v>
      </x:c>
      <x:c r="C110" s="13" t="n">
        <x:v>19</x:v>
      </x:c>
      <x:c r="D110" s="14" t="n">
        <x:v>3.94</x:v>
      </x:c>
      <x:c r="E110" t="str">
        <x:v>SE Ranking related: auto repair marketing; SE Ranking related: auto repair marketing plan; SE Ranking related: social media for auto repair shops; SE Ranking gap: shopmarketingpros.com</x:v>
      </x:c>
      <x:c r="F110" t="str">
        <x:v>https://online.seranking.com/</x:v>
      </x:c>
    </x:row>
    <x:row r="111">
      <x:c r="A111" t="str">
        <x:v>auto shop marketing ideas</x:v>
      </x:c>
      <x:c r="B111" s="13" t="n">
        <x:v>170</x:v>
      </x:c>
      <x:c r="C111" s="13" t="n">
        <x:v>20</x:v>
      </x:c>
      <x:c r="D111" s="14" t="n">
        <x:v>3.94</x:v>
      </x:c>
      <x:c r="E111" t="str">
        <x:v>SE Ranking tracked keywords; SE Ranking related: auto repair marketing; SE Ranking related: auto repair marketing plan; SE Ranking related: social media for auto repair shops</x:v>
      </x:c>
      <x:c r="F111" t="str">
        <x:v>https://online.seranking.com/</x:v>
      </x:c>
    </x:row>
    <x:row r="112">
      <x:c r="A112" t="str">
        <x:v>automotive marketing agencies</x:v>
      </x:c>
      <x:c r="B112" s="13" t="n">
        <x:v>170</x:v>
      </x:c>
      <x:c r="C112" s="13" t="n">
        <x:v>24</x:v>
      </x:c>
      <x:c r="D112" s="14" t="n">
        <x:v>7.54</x:v>
      </x:c>
      <x:c r="E112" t="str">
        <x:v>SE Ranking related: auto repair marketing agency</x:v>
      </x:c>
      <x:c r="F112" t="str">
        <x:v>https://online.seranking.com/</x:v>
      </x:c>
    </x:row>
    <x:row r="113">
      <x:c r="A113" t="str">
        <x:v>automotive repair marketing ideas</x:v>
      </x:c>
      <x:c r="B113" s="13" t="n">
        <x:v>170</x:v>
      </x:c>
      <x:c r="C113" s="13" t="n">
        <x:v>20</x:v>
      </x:c>
      <x:c r="D113" s="14" t="n">
        <x:v>3.39</x:v>
      </x:c>
      <x:c r="E113" t="str">
        <x:v>SE Ranking related: auto repair marketing; SE Ranking related: auto repair marketing plan; SE Ranking related: social media for auto repair shops</x:v>
      </x:c>
      <x:c r="F113" t="str">
        <x:v>https://online.seranking.com/</x:v>
      </x:c>
    </x:row>
    <x:row r="114">
      <x:c r="A114" t="str">
        <x:v>automotive repair seo</x:v>
      </x:c>
      <x:c r="B114" s="13" t="n">
        <x:v>170</x:v>
      </x:c>
      <x:c r="C114" s="13" t="str"/>
      <x:c r="D114" s="14" t="n">
        <x:v>17</x:v>
      </x:c>
      <x:c r="E114" t="str">
        <x:v>SE Ranking tracked keywords</x:v>
      </x:c>
      <x:c r="F114" t="str">
        <x:v>https://online.seranking.com/</x:v>
      </x:c>
    </x:row>
    <x:row r="115">
      <x:c r="A115" t="str">
        <x:v>automotive repair shop marketing ideas</x:v>
      </x:c>
      <x:c r="B115" s="13" t="n">
        <x:v>170</x:v>
      </x:c>
      <x:c r="C115" s="13" t="n">
        <x:v>20</x:v>
      </x:c>
      <x:c r="D115" s="14" t="n">
        <x:v>3.39</x:v>
      </x:c>
      <x:c r="E115" t="str">
        <x:v>SE Ranking related: auto repair marketing; SE Ranking related: auto repair marketing plan; SE Ranking related: social media for auto repair shops</x:v>
      </x:c>
      <x:c r="F115" t="str">
        <x:v>https://online.seranking.com/</x:v>
      </x:c>
    </x:row>
    <x:row r="116">
      <x:c r="A116" t="str">
        <x:v>body shop business plan</x:v>
      </x:c>
      <x:c r="B116" s="13" t="n">
        <x:v>170</x:v>
      </x:c>
      <x:c r="C116" s="13" t="n">
        <x:v>11</x:v>
      </x:c>
      <x:c r="D116" s="14" t="n">
        <x:v>2.95</x:v>
      </x:c>
      <x:c r="E116" t="str">
        <x:v>SE Ranking related: auto repair marketing plan</x:v>
      </x:c>
      <x:c r="F116" t="str">
        <x:v>https://online.seranking.com/</x:v>
      </x:c>
    </x:row>
    <x:row r="117">
      <x:c r="A117" t="str">
        <x:v>digital automotive marketing</x:v>
      </x:c>
      <x:c r="B117" s="13" t="n">
        <x:v>170</x:v>
      </x:c>
      <x:c r="C117" s="13" t="n">
        <x:v>17</x:v>
      </x:c>
      <x:c r="D117" s="14" t="n">
        <x:v>8.19</x:v>
      </x:c>
      <x:c r="E117" t="str">
        <x:v>SE Ranking related: auto repair marketing agency</x:v>
      </x:c>
      <x:c r="F117" t="str">
        <x:v>https://online.seranking.com/</x:v>
      </x:c>
    </x:row>
    <x:row r="118">
      <x:c r="A118" t="str">
        <x:v>digital marketing for car dealers</x:v>
      </x:c>
      <x:c r="B118" s="13" t="n">
        <x:v>170</x:v>
      </x:c>
      <x:c r="C118" s="13" t="n">
        <x:v>28</x:v>
      </x:c>
      <x:c r="D118" s="14" t="n">
        <x:v>17.01</x:v>
      </x:c>
      <x:c r="E118" t="str">
        <x:v>SE Ranking related: auto repair marketing agency</x:v>
      </x:c>
      <x:c r="F118" t="str">
        <x:v>https://online.seranking.com/</x:v>
      </x:c>
    </x:row>
    <x:row r="119">
      <x:c r="A119" t="str">
        <x:v>marketing agency automotive</x:v>
      </x:c>
      <x:c r="B119" s="13" t="n">
        <x:v>170</x:v>
      </x:c>
      <x:c r="C119" s="13" t="n">
        <x:v>30</x:v>
      </x:c>
      <x:c r="D119" s="14" t="n">
        <x:v>7.54</x:v>
      </x:c>
      <x:c r="E119" t="str">
        <x:v>SE Ranking related: auto repair marketing agency</x:v>
      </x:c>
      <x:c r="F119" t="str">
        <x:v>https://online.seranking.com/</x:v>
      </x:c>
    </x:row>
    <x:row r="120">
      <x:c r="A120" t="str">
        <x:v>marketing ideas for auto repair shop</x:v>
      </x:c>
      <x:c r="B120" s="13" t="n">
        <x:v>170</x:v>
      </x:c>
      <x:c r="C120" s="13" t="n">
        <x:v>19</x:v>
      </x:c>
      <x:c r="D120" s="14" t="n">
        <x:v>3.94</x:v>
      </x:c>
      <x:c r="E120" t="str">
        <x:v>SE Ranking related: auto repair marketing; SE Ranking related: auto repair marketing plan; SE Ranking related: social media for auto repair shops</x:v>
      </x:c>
      <x:c r="F120" t="str">
        <x:v>https://online.seranking.com/</x:v>
      </x:c>
    </x:row>
    <x:row r="121">
      <x:c r="A121" t="str">
        <x:v>mobile mechanic advertising</x:v>
      </x:c>
      <x:c r="B121" s="13" t="n">
        <x:v>170</x:v>
      </x:c>
      <x:c r="C121" s="13" t="n">
        <x:v>6</x:v>
      </x:c>
      <x:c r="D121" s="14" t="n">
        <x:v>12.58</x:v>
      </x:c>
      <x:c r="E121" t="str">
        <x:v>SE Ranking related: auto repair marketing</x:v>
      </x:c>
      <x:c r="F121" t="str">
        <x:v>https://online.seranking.com/</x:v>
      </x:c>
    </x:row>
    <x:row r="122">
      <x:c r="A122" t="str">
        <x:v>auto marketing service</x:v>
      </x:c>
      <x:c r="B122" s="13" t="n">
        <x:v>140</x:v>
      </x:c>
      <x:c r="C122" s="13" t="n">
        <x:v>22</x:v>
      </x:c>
      <x:c r="D122" s="14" t="n">
        <x:v>0</x:v>
      </x:c>
      <x:c r="E122" t="str">
        <x:v>SE Ranking related: auto repair marketing agency</x:v>
      </x:c>
      <x:c r="F122" t="str">
        <x:v>https://online.seranking.com/</x:v>
      </x:c>
    </x:row>
    <x:row r="123">
      <x:c r="A123" t="str">
        <x:v>auto marketing services</x:v>
      </x:c>
      <x:c r="B123" s="13" t="n">
        <x:v>140</x:v>
      </x:c>
      <x:c r="C123" s="13" t="n">
        <x:v>11</x:v>
      </x:c>
      <x:c r="D123" s="14" t="n">
        <x:v>7.04</x:v>
      </x:c>
      <x:c r="E123" t="str">
        <x:v>SE Ranking related: auto repair marketing agency</x:v>
      </x:c>
      <x:c r="F123" t="str">
        <x:v>https://online.seranking.com/</x:v>
      </x:c>
    </x:row>
    <x:row r="124">
      <x:c r="A124" t="str">
        <x:v>auto repair leads</x:v>
      </x:c>
      <x:c r="B124" s="13" t="n">
        <x:v>140</x:v>
      </x:c>
      <x:c r="C124" s="13" t="n">
        <x:v>13</x:v>
      </x:c>
      <x:c r="D124" s="14" t="n">
        <x:v>10.23</x:v>
      </x:c>
      <x:c r="E124" t="str">
        <x:v>SE Ranking tracked keywords; SE Ranking related: auto repair marketing</x:v>
      </x:c>
      <x:c r="F124" t="str">
        <x:v>https://online.seranking.com/</x:v>
      </x:c>
    </x:row>
    <x:row r="125">
      <x:c r="A125" t="str">
        <x:v>auto repair marketing strategies</x:v>
      </x:c>
      <x:c r="B125" s="13" t="n">
        <x:v>140</x:v>
      </x:c>
      <x:c r="C125" s="13" t="n">
        <x:v>19</x:v>
      </x:c>
      <x:c r="D125" s="14" t="n">
        <x:v>4.83</x:v>
      </x:c>
      <x:c r="E125" t="str">
        <x:v>SE Ranking tracked keywords; SE Ranking related: auto repair marketing; SE Ranking related: auto repair marketing plan; SE Ranking related: social media for auto repair shops; SE Ranking related: auto repair customer retention; SE Ranking gap: shopmarketingpros.com; SE Ranking gap: elementdma.com; SE Ranking gap: autoshopdigital.com</x:v>
      </x:c>
      <x:c r="F125" t="str">
        <x:v>https://online.seranking.com/</x:v>
      </x:c>
    </x:row>
    <x:row r="126">
      <x:c r="A126" t="str">
        <x:v>auto repair marketing strategy</x:v>
      </x:c>
      <x:c r="B126" s="13" t="n">
        <x:v>140</x:v>
      </x:c>
      <x:c r="C126" s="13" t="n">
        <x:v>19</x:v>
      </x:c>
      <x:c r="D126" s="14" t="n">
        <x:v>4.83</x:v>
      </x:c>
      <x:c r="E126" t="str">
        <x:v>SE Ranking tracked keywords; SE Ranking related: auto repair marketing; SE Ranking related: auto repair marketing plan; SE Ranking related: social media for auto repair shops; SE Ranking related: auto repair customer retention</x:v>
      </x:c>
      <x:c r="F126" t="str">
        <x:v>https://online.seranking.com/</x:v>
      </x:c>
    </x:row>
    <x:row r="127">
      <x:c r="A127" t="str">
        <x:v>auto repair shop marketing strategies</x:v>
      </x:c>
      <x:c r="B127" s="13" t="n">
        <x:v>140</x:v>
      </x:c>
      <x:c r="C127" s="13" t="n">
        <x:v>19</x:v>
      </x:c>
      <x:c r="D127" s="14" t="n">
        <x:v>4.83</x:v>
      </x:c>
      <x:c r="E127" t="str">
        <x:v>SE Ranking tracked keywords; SE Ranking related: auto repair marketing; SE Ranking related: auto repair marketing plan; SE Ranking related: social media for auto repair shops; SE Ranking related: auto repair customer retention; SE Ranking gap: autoshopsolutions.com; SE Ranking gap: shopmarketingpros.com; SE Ranking gap: elementdma.com; SE Ranking gap: autoshopdigital.com</x:v>
      </x:c>
      <x:c r="F127" t="str">
        <x:v>https://online.seranking.com/</x:v>
      </x:c>
    </x:row>
    <x:row r="128">
      <x:c r="A128" t="str">
        <x:v>automobile marketing services</x:v>
      </x:c>
      <x:c r="B128" s="13" t="n">
        <x:v>140</x:v>
      </x:c>
      <x:c r="C128" s="13" t="n">
        <x:v>15</x:v>
      </x:c>
      <x:c r="D128" s="14" t="n">
        <x:v>7.04</x:v>
      </x:c>
      <x:c r="E128" t="str">
        <x:v>SE Ranking related: auto repair marketing agency</x:v>
      </x:c>
      <x:c r="F128" t="str">
        <x:v>https://online.seranking.com/</x:v>
      </x:c>
    </x:row>
    <x:row r="129">
      <x:c r="A129" t="str">
        <x:v>automotive marketing service</x:v>
      </x:c>
      <x:c r="B129" s="13" t="n">
        <x:v>140</x:v>
      </x:c>
      <x:c r="C129" s="13" t="n">
        <x:v>30</x:v>
      </x:c>
      <x:c r="D129" s="14" t="n">
        <x:v>7.04</x:v>
      </x:c>
      <x:c r="E129" t="str">
        <x:v>SE Ranking related: auto repair marketing agency</x:v>
      </x:c>
      <x:c r="F129" t="str">
        <x:v>https://online.seranking.com/</x:v>
      </x:c>
    </x:row>
    <x:row r="130">
      <x:c r="A130" t="str">
        <x:v>automotive repair marketing strategies</x:v>
      </x:c>
      <x:c r="B130" s="13" t="n">
        <x:v>140</x:v>
      </x:c>
      <x:c r="C130" s="13" t="n">
        <x:v>19</x:v>
      </x:c>
      <x:c r="D130" s="14" t="n">
        <x:v>0</x:v>
      </x:c>
      <x:c r="E130" t="str">
        <x:v>SE Ranking related: auto repair marketing; SE Ranking related: auto repair marketing plan; SE Ranking related: social media for auto repair shops; SE Ranking related: auto repair customer retention</x:v>
      </x:c>
      <x:c r="F130" t="str">
        <x:v>https://online.seranking.com/</x:v>
      </x:c>
    </x:row>
    <x:row r="131">
      <x:c r="A131" t="str">
        <x:v>automotive social media marketing</x:v>
      </x:c>
      <x:c r="B131" s="13" t="n">
        <x:v>140</x:v>
      </x:c>
      <x:c r="C131" s="13" t="str"/>
      <x:c r="D131" s="14" t="n">
        <x:v>8.19</x:v>
      </x:c>
      <x:c r="E131" t="str">
        <x:v>SE Ranking tracked keywords</x:v>
      </x:c>
      <x:c r="F131" t="str">
        <x:v>https://online.seranking.com/</x:v>
      </x:c>
    </x:row>
    <x:row r="132">
      <x:c r="A132" t="str">
        <x:v>digital marketing for auto dealers</x:v>
      </x:c>
      <x:c r="B132" s="13" t="n">
        <x:v>140</x:v>
      </x:c>
      <x:c r="C132" s="13" t="n">
        <x:v>28</x:v>
      </x:c>
      <x:c r="D132" s="14" t="n">
        <x:v>12.3</x:v>
      </x:c>
      <x:c r="E132" t="str">
        <x:v>SE Ranking related: auto repair marketing agency</x:v>
      </x:c>
      <x:c r="F132" t="str">
        <x:v>https://online.seranking.com/</x:v>
      </x:c>
    </x:row>
    <x:row r="133">
      <x:c r="A133" t="str">
        <x:v>marketing strategies for auto repair shops</x:v>
      </x:c>
      <x:c r="B133" s="13" t="n">
        <x:v>140</x:v>
      </x:c>
      <x:c r="C133" s="13" t="n">
        <x:v>13</x:v>
      </x:c>
      <x:c r="D133" s="14" t="n">
        <x:v>0</x:v>
      </x:c>
      <x:c r="E133" t="str">
        <x:v>SE Ranking related: auto repair marketing; SE Ranking related: auto repair marketing plan; SE Ranking related: social media for auto repair shops</x:v>
      </x:c>
      <x:c r="F133" t="str">
        <x:v>https://online.seranking.com/</x:v>
      </x:c>
    </x:row>
    <x:row r="134">
      <x:c r="A134" t="str">
        <x:v>auto body shop marketing</x:v>
      </x:c>
      <x:c r="B134" s="13" t="n">
        <x:v>110</x:v>
      </x:c>
      <x:c r="C134" s="13" t="n">
        <x:v>10</x:v>
      </x:c>
      <x:c r="D134" s="14" t="n">
        <x:v>6.18</x:v>
      </x:c>
      <x:c r="E134" t="str">
        <x:v>SE Ranking related: auto repair marketing; SE Ranking related: auto repair marketing plan</x:v>
      </x:c>
      <x:c r="F134" t="str">
        <x:v>https://online.seranking.com/</x:v>
      </x:c>
    </x:row>
    <x:row r="135">
      <x:c r="A135" t="str">
        <x:v>auto repair marketing plan</x:v>
      </x:c>
      <x:c r="B135" s="13" t="n">
        <x:v>110</x:v>
      </x:c>
      <x:c r="C135" s="13" t="n">
        <x:v>19</x:v>
      </x:c>
      <x:c r="D135" s="14" t="n">
        <x:v>0</x:v>
      </x:c>
      <x:c r="E135" t="str">
        <x:v>SE Ranking tracked keywords; SE Ranking related: auto repair marketing; SE Ranking related: social media for auto repair shops</x:v>
      </x:c>
      <x:c r="F135" t="str">
        <x:v>https://online.seranking.com/</x:v>
      </x:c>
    </x:row>
    <x:row r="136">
      <x:c r="A136" t="str">
        <x:v>auto repair shop leads</x:v>
      </x:c>
      <x:c r="B136" s="13" t="n">
        <x:v>110</x:v>
      </x:c>
      <x:c r="C136" s="13" t="n">
        <x:v>13</x:v>
      </x:c>
      <x:c r="D136" s="14" t="n">
        <x:v>8.06</x:v>
      </x:c>
      <x:c r="E136" t="str">
        <x:v>SE Ranking related: auto repair marketing; SE Ranking related: auto repair marketing plan</x:v>
      </x:c>
      <x:c r="F136" t="str">
        <x:v>https://online.seranking.com/</x:v>
      </x:c>
    </x:row>
    <x:row r="137">
      <x:c r="A137" t="str">
        <x:v>auto repair shop marketing plan</x:v>
      </x:c>
      <x:c r="B137" s="13" t="n">
        <x:v>110</x:v>
      </x:c>
      <x:c r="C137" s="13" t="n">
        <x:v>13</x:v>
      </x:c>
      <x:c r="D137" s="14" t="n">
        <x:v>0</x:v>
      </x:c>
      <x:c r="E137" t="str">
        <x:v>SE Ranking tracked keywords; SE Ranking related: auto repair marketing; SE Ranking related: auto repair marketing plan</x:v>
      </x:c>
      <x:c r="F137" t="str">
        <x:v>https://online.seranking.com/</x:v>
      </x:c>
    </x:row>
    <x:row r="138">
      <x:c r="A138" t="str">
        <x:v>automotive repair marketing plan</x:v>
      </x:c>
      <x:c r="B138" s="13" t="n">
        <x:v>110</x:v>
      </x:c>
      <x:c r="C138" s="13" t="n">
        <x:v>19</x:v>
      </x:c>
      <x:c r="D138" s="14" t="n">
        <x:v>0</x:v>
      </x:c>
      <x:c r="E138" t="str">
        <x:v>SE Ranking related: auto repair marketing; SE Ranking related: auto repair marketing plan; SE Ranking related: social media for auto repair shops; SE Ranking related: auto repair customer retention</x:v>
      </x:c>
      <x:c r="F138" t="str">
        <x:v>https://online.seranking.com/</x:v>
      </x:c>
    </x:row>
    <x:row r="139">
      <x:c r="A139" t="str">
        <x:v>Google Ads for auto repair shops</x:v>
      </x:c>
      <x:c r="B139" s="13" t="n">
        <x:v>110</x:v>
      </x:c>
      <x:c r="C139" s="13" t="n">
        <x:v>5</x:v>
      </x:c>
      <x:c r="D139" s="14" t="n">
        <x:v>17.33</x:v>
      </x:c>
      <x:c r="E139" t="str">
        <x:v>SE Ranking tracked keywords; SE Ranking gap: autoshopsolutions.com; SE Ranking gap: shopmarketingpros.com; SE Ranking gap: kukui.com; SE Ranking gap: autoshopdigital.com</x:v>
      </x:c>
      <x:c r="F139" t="str">
        <x:v>https://online.seranking.com/</x:v>
      </x:c>
    </x:row>
    <x:row r="140">
      <x:c r="A140" t="str">
        <x:v>marketing plan auto repair</x:v>
      </x:c>
      <x:c r="B140" s="13" t="n">
        <x:v>110</x:v>
      </x:c>
      <x:c r="C140" s="13" t="n">
        <x:v>14</x:v>
      </x:c>
      <x:c r="D140" s="14" t="n">
        <x:v>0</x:v>
      </x:c>
      <x:c r="E140" t="str">
        <x:v>SE Ranking related: auto repair marketing; SE Ranking related: auto repair marketing plan; SE Ranking related: social media for auto repair shops</x:v>
      </x:c>
      <x:c r="F140" t="str">
        <x:v>https://online.seranking.com/</x:v>
      </x:c>
    </x:row>
    <x:row r="141">
      <x:c r="A141" t="str">
        <x:v>marketing plan for auto repair shop</x:v>
      </x:c>
      <x:c r="B141" s="13" t="n">
        <x:v>110</x:v>
      </x:c>
      <x:c r="C141" s="13" t="n">
        <x:v>19</x:v>
      </x:c>
      <x:c r="D141" s="14" t="n">
        <x:v>0</x:v>
      </x:c>
      <x:c r="E141" t="str">
        <x:v>SE Ranking related: auto repair marketing; SE Ranking related: auto repair marketing plan; SE Ranking related: social media for auto repair shops; SE Ranking related: auto repair customer retention</x:v>
      </x:c>
      <x:c r="F141" t="str">
        <x:v>https://online.seranking.com/</x:v>
      </x:c>
    </x:row>
    <x:row r="142">
      <x:c r="A142" t="str">
        <x:v>auto repair digital marketing</x:v>
      </x:c>
      <x:c r="B142" s="13" t="n">
        <x:v>90</x:v>
      </x:c>
      <x:c r="C142" s="13" t="n">
        <x:v>23</x:v>
      </x:c>
      <x:c r="D142" s="14" t="n">
        <x:v>8</x:v>
      </x:c>
      <x:c r="E142" t="str">
        <x:v>SE Ranking tracked keywords; SE Ranking related: auto repair marketing; SE Ranking related: auto repair marketing plan</x:v>
      </x:c>
      <x:c r="F142" t="str">
        <x:v>https://online.seranking.com/</x:v>
      </x:c>
    </x:row>
    <x:row r="143">
      <x:c r="A143" t="str">
        <x:v>automotive direct mail marketing</x:v>
      </x:c>
      <x:c r="B143" s="13" t="n">
        <x:v>90</x:v>
      </x:c>
      <x:c r="C143" s="13" t="n">
        <x:v>6</x:v>
      </x:c>
      <x:c r="D143" s="14" t="n">
        <x:v>16</x:v>
      </x:c>
      <x:c r="E143" t="str">
        <x:v>SE Ranking tracked keywords; SE Ranking related: auto repair direct mail</x:v>
      </x:c>
      <x:c r="F143" t="str">
        <x:v>https://online.seranking.com/</x:v>
      </x:c>
    </x:row>
    <x:row r="144">
      <x:c r="A144" t="str">
        <x:v>digital marketing for auto repair shops</x:v>
      </x:c>
      <x:c r="B144" s="13" t="n">
        <x:v>90</x:v>
      </x:c>
      <x:c r="C144" s="13" t="n">
        <x:v>20</x:v>
      </x:c>
      <x:c r="D144" s="14" t="n">
        <x:v>10.49</x:v>
      </x:c>
      <x:c r="E144" t="str">
        <x:v>SE Ranking tracked keywords; SE Ranking related: auto repair marketing; SE Ranking related: auto repair marketing plan; SE Ranking related: social media for auto repair shops; SE Ranking gap: autoshopsolutions.com; SE Ranking gap: shopmarketingpros.com; SE Ranking gap: kukui.com; SE Ranking gap: elementdma.com; SE Ranking gap: autoshopdigital.com</x:v>
      </x:c>
      <x:c r="F144" t="str">
        <x:v>https://online.seranking.com/</x:v>
      </x:c>
    </x:row>
    <x:row r="145">
      <x:c r="A145" t="str">
        <x:v>hourly labor rate for auto repair</x:v>
      </x:c>
      <x:c r="B145" s="13" t="n">
        <x:v>90</x:v>
      </x:c>
      <x:c r="C145" s="13" t="n">
        <x:v>21</x:v>
      </x:c>
      <x:c r="D145" s="14" t="n">
        <x:v>2.16</x:v>
      </x:c>
      <x:c r="E145" t="str">
        <x:v>SE Ranking gap: elementdma.com</x:v>
      </x:c>
      <x:c r="F145" t="str">
        <x:v>https://elementdma.com/tools/labor-rate-calculator/</x:v>
      </x:c>
    </x:row>
    <x:row r="146">
      <x:c r="A146" t="str">
        <x:v>local SEO for auto repair shops</x:v>
      </x:c>
      <x:c r="B146" s="13" t="n">
        <x:v>90</x:v>
      </x:c>
      <x:c r="C146" s="13" t="n">
        <x:v>6</x:v>
      </x:c>
      <x:c r="D146" s="14" t="n">
        <x:v>0</x:v>
      </x:c>
      <x:c r="E146" t="str">
        <x:v>SE Ranking tracked keywords; SE Ranking gap: autoshopsolutions.com; SE Ranking gap: shopmarketingpros.com; SE Ranking gap: elementdma.com</x:v>
      </x:c>
      <x:c r="F146" t="str">
        <x:v>https://online.seranking.com/</x:v>
      </x:c>
    </x:row>
    <x:row r="147">
      <x:c r="A147" t="str">
        <x:v>workshop business plan</x:v>
      </x:c>
      <x:c r="B147" s="13" t="n">
        <x:v>90</x:v>
      </x:c>
      <x:c r="C147" s="13" t="n">
        <x:v>13</x:v>
      </x:c>
      <x:c r="D147" s="14" t="n">
        <x:v>6.05</x:v>
      </x:c>
      <x:c r="E147" t="str">
        <x:v>SE Ranking related: auto repair marketing plan</x:v>
      </x:c>
      <x:c r="F147" t="str">
        <x:v>https://online.seranking.com/</x:v>
      </x:c>
    </x:row>
    <x:row r="148">
      <x:c r="A148" t="str">
        <x:v>automotive seo</x:v>
      </x:c>
      <x:c r="B148" s="13" t="n">
        <x:v>80</x:v>
      </x:c>
      <x:c r="C148" s="13" t="str"/>
      <x:c r="D148" s="14" t="n">
        <x:v>6.9</x:v>
      </x:c>
      <x:c r="E148" t="str">
        <x:v>SE Ranking tracked keywords</x:v>
      </x:c>
      <x:c r="F148" t="str">
        <x:v>https://online.seranking.com/</x:v>
      </x:c>
    </x:row>
    <x:row r="149">
      <x:c r="A149" t="str">
        <x:v>auto body marketing</x:v>
      </x:c>
      <x:c r="B149" s="13" t="n">
        <x:v>70</x:v>
      </x:c>
      <x:c r="C149" s="13" t="n">
        <x:v>8</x:v>
      </x:c>
      <x:c r="D149" s="14" t="n">
        <x:v>7.05</x:v>
      </x:c>
      <x:c r="E149" t="str">
        <x:v>SE Ranking related: auto repair marketing; SE Ranking related: auto repair marketing plan</x:v>
      </x:c>
      <x:c r="F149" t="str">
        <x:v>https://online.seranking.com/</x:v>
      </x:c>
    </x:row>
    <x:row r="150">
      <x:c r="A150" t="str">
        <x:v>auto repair business marketing</x:v>
      </x:c>
      <x:c r="B150" s="13" t="n">
        <x:v>70</x:v>
      </x:c>
      <x:c r="C150" s="13" t="n">
        <x:v>24</x:v>
      </x:c>
      <x:c r="D150" s="14" t="n">
        <x:v>0</x:v>
      </x:c>
      <x:c r="E150" t="str">
        <x:v>SE Ranking tracked keywords; SE Ranking related: auto repair marketing; SE Ranking related: auto repair marketing plan; SE Ranking related: social media for auto repair shops; SE Ranking related: auto repair customer retention; SE Ranking gap: autoshopsolutions.com; SE Ranking gap: shopmarketingpros.com; SE Ranking gap: elementdma.com</x:v>
      </x:c>
      <x:c r="F150" t="str">
        <x:v>https://online.seranking.com/</x:v>
      </x:c>
    </x:row>
    <x:row r="151">
      <x:c r="A151" t="str">
        <x:v>auto repair marketing companies</x:v>
      </x:c>
      <x:c r="B151" s="13" t="n">
        <x:v>70</x:v>
      </x:c>
      <x:c r="C151" s="13" t="n">
        <x:v>22</x:v>
      </x:c>
      <x:c r="D151" s="14" t="n">
        <x:v>9.32</x:v>
      </x:c>
      <x:c r="E151" t="str">
        <x:v>SE Ranking related: auto repair marketing</x:v>
      </x:c>
      <x:c r="F151" t="str">
        <x:v>https://online.seranking.com/</x:v>
      </x:c>
    </x:row>
    <x:row r="152">
      <x:c r="A152" t="str">
        <x:v>auto service business plan</x:v>
      </x:c>
      <x:c r="B152" s="13" t="n">
        <x:v>70</x:v>
      </x:c>
      <x:c r="C152" s="13" t="n">
        <x:v>7</x:v>
      </x:c>
      <x:c r="D152" s="14" t="n">
        <x:v>0</x:v>
      </x:c>
      <x:c r="E152" t="str">
        <x:v>SE Ranking related: auto repair marketing plan</x:v>
      </x:c>
      <x:c r="F152" t="str">
        <x:v>https://online.seranking.com/</x:v>
      </x:c>
    </x:row>
    <x:row r="153">
      <x:c r="A153" t="str">
        <x:v>automotive service business plan</x:v>
      </x:c>
      <x:c r="B153" s="13" t="n">
        <x:v>70</x:v>
      </x:c>
      <x:c r="C153" s="13" t="n">
        <x:v>6</x:v>
      </x:c>
      <x:c r="D153" s="14" t="n">
        <x:v>0</x:v>
      </x:c>
      <x:c r="E153" t="str">
        <x:v>SE Ranking related: auto repair marketing plan</x:v>
      </x:c>
      <x:c r="F153" t="str">
        <x:v>https://online.seranking.com/</x:v>
      </x:c>
    </x:row>
    <x:row r="154">
      <x:c r="A154" t="str">
        <x:v>car parts business plan</x:v>
      </x:c>
      <x:c r="B154" s="13" t="n">
        <x:v>70</x:v>
      </x:c>
      <x:c r="C154" s="13" t="n">
        <x:v>11</x:v>
      </x:c>
      <x:c r="D154" s="14" t="n">
        <x:v>0</x:v>
      </x:c>
      <x:c r="E154" t="str">
        <x:v>SE Ranking related: auto repair marketing plan</x:v>
      </x:c>
      <x:c r="F154" t="str">
        <x:v>https://online.seranking.com/</x:v>
      </x:c>
    </x:row>
    <x:row r="155">
      <x:c r="A155" t="str">
        <x:v>car service business plan</x:v>
      </x:c>
      <x:c r="B155" s="13" t="n">
        <x:v>70</x:v>
      </x:c>
      <x:c r="C155" s="13" t="n">
        <x:v>6</x:v>
      </x:c>
      <x:c r="D155" s="14" t="n">
        <x:v>0</x:v>
      </x:c>
      <x:c r="E155" t="str">
        <x:v>SE Ranking related: auto repair marketing plan</x:v>
      </x:c>
      <x:c r="F155" t="str">
        <x:v>https://online.seranking.com/</x:v>
      </x:c>
    </x:row>
    <x:row r="156">
      <x:c r="A156" t="str">
        <x:v>digital marketing for auto repair shop</x:v>
      </x:c>
      <x:c r="B156" s="13" t="n">
        <x:v>70</x:v>
      </x:c>
      <x:c r="C156" s="13" t="n">
        <x:v>20</x:v>
      </x:c>
      <x:c r="D156" s="14" t="n">
        <x:v>0</x:v>
      </x:c>
      <x:c r="E156" t="str">
        <x:v>SE Ranking related: auto repair marketing; SE Ranking related: auto repair marketing plan; SE Ranking related: social media for auto repair shops; SE Ranking gap: autoshopsolutions.com; SE Ranking gap: shopmarketingpros.com; SE Ranking gap: kukui.com; SE Ranking gap: elementdma.com; SE Ranking gap: autoshopdigital.com</x:v>
      </x:c>
      <x:c r="F156" t="str">
        <x:v>https://online.seranking.com/</x:v>
      </x:c>
    </x:row>
    <x:row r="157">
      <x:c r="A157" t="str">
        <x:v>small engine repair business plan</x:v>
      </x:c>
      <x:c r="B157" s="13" t="n">
        <x:v>70</x:v>
      </x:c>
      <x:c r="C157" s="13" t="n">
        <x:v>6</x:v>
      </x:c>
      <x:c r="D157" s="14" t="n">
        <x:v>0</x:v>
      </x:c>
      <x:c r="E157" t="str">
        <x:v>SE Ranking related: auto repair marketing plan</x:v>
      </x:c>
      <x:c r="F157" t="str">
        <x:v>https://online.seranking.com/</x:v>
      </x:c>
    </x:row>
    <x:row r="158">
      <x:c r="A158" t="str">
        <x:v>what is the average labor rate for auto repair</x:v>
      </x:c>
      <x:c r="B158" s="13" t="n">
        <x:v>70</x:v>
      </x:c>
      <x:c r="C158" s="13" t="n">
        <x:v>21</x:v>
      </x:c>
      <x:c r="D158" s="14" t="n">
        <x:v>0</x:v>
      </x:c>
      <x:c r="E158" t="str">
        <x:v>SE Ranking gap: elementdma.com</x:v>
      </x:c>
      <x:c r="F158" t="str">
        <x:v>https://elementdma.com/tools/labor-rate-calculator/</x:v>
      </x:c>
    </x:row>
    <x:row r="159">
      <x:c r="A159" t="str">
        <x:v>auto body advertising ideas</x:v>
      </x:c>
      <x:c r="B159" s="13" t="n">
        <x:v>50</x:v>
      </x:c>
      <x:c r="C159" s="13" t="n">
        <x:v>14</x:v>
      </x:c>
      <x:c r="D159" s="14" t="n">
        <x:v>0</x:v>
      </x:c>
      <x:c r="E159" t="str">
        <x:v>SE Ranking related: social media for auto repair shops</x:v>
      </x:c>
      <x:c r="F159" t="str">
        <x:v>https://online.seranking.com/</x:v>
      </x:c>
    </x:row>
    <x:row r="160">
      <x:c r="A160" t="str">
        <x:v>auto mechanic marketing</x:v>
      </x:c>
      <x:c r="B160" s="13" t="n">
        <x:v>50</x:v>
      </x:c>
      <x:c r="C160" s="13" t="n">
        <x:v>23</x:v>
      </x:c>
      <x:c r="D160" s="14" t="n">
        <x:v>0</x:v>
      </x:c>
      <x:c r="E160" t="str">
        <x:v>SE Ranking related: social media for auto repair shops; SE Ranking related: auto repair customer retention</x:v>
      </x:c>
      <x:c r="F160" t="str">
        <x:v>https://online.seranking.com/</x:v>
      </x:c>
    </x:row>
    <x:row r="161">
      <x:c r="A161" t="str">
        <x:v>auto repair ads that work</x:v>
      </x:c>
      <x:c r="B161" s="13" t="n">
        <x:v>50</x:v>
      </x:c>
      <x:c r="C161" s="13" t="n">
        <x:v>9</x:v>
      </x:c>
      <x:c r="D161" s="14" t="n">
        <x:v>0</x:v>
      </x:c>
      <x:c r="E161" t="str">
        <x:v>SE Ranking related: social media for auto repair shops</x:v>
      </x:c>
      <x:c r="F161" t="str">
        <x:v>https://online.seranking.com/</x:v>
      </x:c>
    </x:row>
    <x:row r="162">
      <x:c r="A162" t="str">
        <x:v>auto repair lead generation</x:v>
      </x:c>
      <x:c r="B162" s="13" t="n">
        <x:v>50</x:v>
      </x:c>
      <x:c r="C162" s="13" t="n">
        <x:v>13</x:v>
      </x:c>
      <x:c r="D162" s="14" t="n">
        <x:v>0</x:v>
      </x:c>
      <x:c r="E162" t="str">
        <x:v>SE Ranking tracked keywords; SE Ranking gap: autoshopsolutions.com; SE Ranking gap: elementdma.com</x:v>
      </x:c>
      <x:c r="F162" t="str">
        <x:v>https://online.seranking.com/</x:v>
      </x:c>
    </x:row>
    <x:row r="163">
      <x:c r="A163" t="str">
        <x:v>auto repair promotion ideas</x:v>
      </x:c>
      <x:c r="B163" s="13" t="n">
        <x:v>50</x:v>
      </x:c>
      <x:c r="C163" s="13" t="n">
        <x:v>19</x:v>
      </x:c>
      <x:c r="D163" s="14" t="n">
        <x:v>0</x:v>
      </x:c>
      <x:c r="E163" t="str">
        <x:v>SE Ranking related: social media for auto repair shops</x:v>
      </x:c>
      <x:c r="F163" t="str">
        <x:v>https://online.seranking.com/</x:v>
      </x:c>
    </x:row>
    <x:row r="164">
      <x:c r="A164" t="str">
        <x:v>auto repair seo services</x:v>
      </x:c>
      <x:c r="B164" s="13" t="n">
        <x:v>50</x:v>
      </x:c>
      <x:c r="C164" s="13" t="n">
        <x:v>9</x:v>
      </x:c>
      <x:c r="D164" s="14" t="n">
        <x:v>0</x:v>
      </x:c>
      <x:c r="E164" t="str">
        <x:v>SE Ranking tracked keywords; SE Ranking gap: autoshopsolutions.com; SE Ranking gap: shopmarketingpros.com</x:v>
      </x:c>
      <x:c r="F164" t="str">
        <x:v>https://online.seranking.com/</x:v>
      </x:c>
    </x:row>
    <x:row r="165">
      <x:c r="A165" t="str">
        <x:v>auto service advertising</x:v>
      </x:c>
      <x:c r="B165" s="13" t="n">
        <x:v>50</x:v>
      </x:c>
      <x:c r="C165" s="13" t="n">
        <x:v>14</x:v>
      </x:c>
      <x:c r="D165" s="14" t="n">
        <x:v>11.29</x:v>
      </x:c>
      <x:c r="E165" t="str">
        <x:v>SE Ranking related: social media for auto repair shops</x:v>
      </x:c>
      <x:c r="F165" t="str">
        <x:v>https://online.seranking.com/</x:v>
      </x:c>
    </x:row>
    <x:row r="166">
      <x:c r="A166" t="str">
        <x:v>auto service marketing</x:v>
      </x:c>
      <x:c r="B166" s="13" t="n">
        <x:v>50</x:v>
      </x:c>
      <x:c r="C166" s="13" t="n">
        <x:v>17</x:v>
      </x:c>
      <x:c r="D166" s="14" t="n">
        <x:v>4.59</x:v>
      </x:c>
      <x:c r="E166" t="str">
        <x:v>SE Ranking related: social media for auto repair shops</x:v>
      </x:c>
      <x:c r="F166" t="str">
        <x:v>https://online.seranking.com/</x:v>
      </x:c>
    </x:row>
    <x:row r="167">
      <x:c r="A167" t="str">
        <x:v>auto shop advertising ideas</x:v>
      </x:c>
      <x:c r="B167" s="13" t="n">
        <x:v>50</x:v>
      </x:c>
      <x:c r="C167" s="13" t="n">
        <x:v>19</x:v>
      </x:c>
      <x:c r="D167" s="14" t="n">
        <x:v>4.58</x:v>
      </x:c>
      <x:c r="E167" t="str">
        <x:v>SE Ranking related: social media for auto repair shops</x:v>
      </x:c>
      <x:c r="F167" t="str">
        <x:v>https://online.seranking.com/</x:v>
      </x:c>
    </x:row>
    <x:row r="168">
      <x:c r="A168" t="str">
        <x:v>automobile business plan</x:v>
      </x:c>
      <x:c r="B168" s="13" t="n">
        <x:v>50</x:v>
      </x:c>
      <x:c r="C168" s="13" t="n">
        <x:v>6</x:v>
      </x:c>
      <x:c r="D168" s="14" t="n">
        <x:v>4.32</x:v>
      </x:c>
      <x:c r="E168" t="str">
        <x:v>SE Ranking related: auto repair marketing plan</x:v>
      </x:c>
      <x:c r="F168" t="str">
        <x:v>https://online.seranking.com/</x:v>
      </x:c>
    </x:row>
    <x:row r="169">
      <x:c r="A169" t="str">
        <x:v>automobile service marketing</x:v>
      </x:c>
      <x:c r="B169" s="13" t="n">
        <x:v>50</x:v>
      </x:c>
      <x:c r="C169" s="13" t="n">
        <x:v>12</x:v>
      </x:c>
      <x:c r="D169" s="14" t="n">
        <x:v>4.59</x:v>
      </x:c>
      <x:c r="E169" t="str">
        <x:v>SE Ranking related: social media for auto repair shops</x:v>
      </x:c>
      <x:c r="F169" t="str">
        <x:v>https://online.seranking.com/</x:v>
      </x:c>
    </x:row>
    <x:row r="170">
      <x:c r="A170" t="str">
        <x:v>automotive customer retention</x:v>
      </x:c>
      <x:c r="B170" s="13" t="n">
        <x:v>50</x:v>
      </x:c>
      <x:c r="C170" s="13" t="n">
        <x:v>7</x:v>
      </x:c>
      <x:c r="D170" s="14" t="n">
        <x:v>0</x:v>
      </x:c>
      <x:c r="E170" t="str">
        <x:v>SE Ranking related: auto repair customer retention</x:v>
      </x:c>
      <x:c r="F170" t="str">
        <x:v>https://online.seranking.com/</x:v>
      </x:c>
    </x:row>
    <x:row r="171">
      <x:c r="A171" t="str">
        <x:v>automotive service advertising</x:v>
      </x:c>
      <x:c r="B171" s="13" t="n">
        <x:v>50</x:v>
      </x:c>
      <x:c r="C171" s="13" t="n">
        <x:v>11</x:v>
      </x:c>
      <x:c r="D171" s="14" t="n">
        <x:v>11.29</x:v>
      </x:c>
      <x:c r="E171" t="str">
        <x:v>SE Ranking related: social media for auto repair shops</x:v>
      </x:c>
      <x:c r="F171" t="str">
        <x:v>https://online.seranking.com/</x:v>
      </x:c>
    </x:row>
    <x:row r="172">
      <x:c r="A172" t="str">
        <x:v>automotive service marketing</x:v>
      </x:c>
      <x:c r="B172" s="13" t="n">
        <x:v>50</x:v>
      </x:c>
      <x:c r="C172" s="13" t="n">
        <x:v>11</x:v>
      </x:c>
      <x:c r="D172" s="14" t="n">
        <x:v>4.59</x:v>
      </x:c>
      <x:c r="E172" t="str">
        <x:v>SE Ranking related: auto repair marketing; SE Ranking related: auto repair marketing plan</x:v>
      </x:c>
      <x:c r="F172" t="str">
        <x:v>https://online.seranking.com/</x:v>
      </x:c>
    </x:row>
    <x:row r="173">
      <x:c r="A173" t="str">
        <x:v>automotive shop advertising ideas</x:v>
      </x:c>
      <x:c r="B173" s="13" t="n">
        <x:v>50</x:v>
      </x:c>
      <x:c r="C173" s="13" t="n">
        <x:v>19</x:v>
      </x:c>
      <x:c r="D173" s="14" t="n">
        <x:v>4.58</x:v>
      </x:c>
      <x:c r="E173" t="str">
        <x:v>SE Ranking related: auto repair marketing; SE Ranking related: auto repair marketing plan; SE Ranking related: social media for auto repair shops</x:v>
      </x:c>
      <x:c r="F173" t="str">
        <x:v>https://online.seranking.com/</x:v>
      </x:c>
    </x:row>
    <x:row r="174">
      <x:c r="A174" t="str">
        <x:v>car service marketing</x:v>
      </x:c>
      <x:c r="B174" s="13" t="n">
        <x:v>50</x:v>
      </x:c>
      <x:c r="C174" s="13" t="n">
        <x:v>11</x:v>
      </x:c>
      <x:c r="D174" s="14" t="n">
        <x:v>4.59</x:v>
      </x:c>
      <x:c r="E174" t="str">
        <x:v>SE Ranking related: social media for auto repair shops</x:v>
      </x:c>
      <x:c r="F174" t="str">
        <x:v>https://online.seranking.com/</x:v>
      </x:c>
    </x:row>
    <x:row r="175">
      <x:c r="A175" t="str">
        <x:v>Facebook ads for auto repair shops</x:v>
      </x:c>
      <x:c r="B175" s="13" t="n">
        <x:v>50</x:v>
      </x:c>
      <x:c r="C175" s="13" t="n">
        <x:v>5</x:v>
      </x:c>
      <x:c r="D175" s="14" t="n">
        <x:v>0</x:v>
      </x:c>
      <x:c r="E175" t="str">
        <x:v>SE Ranking tracked keywords; SE Ranking related: social media for auto repair shops</x:v>
      </x:c>
      <x:c r="F175" t="str">
        <x:v>https://online.seranking.com/</x:v>
      </x:c>
    </x:row>
    <x:row r="176">
      <x:c r="A176" t="str">
        <x:v>mechanic website design</x:v>
      </x:c>
      <x:c r="B176" s="13" t="n">
        <x:v>50</x:v>
      </x:c>
      <x:c r="C176" s="13" t="str"/>
      <x:c r="D176" s="14" t="n">
        <x:v>10.79</x:v>
      </x:c>
      <x:c r="E176" t="str">
        <x:v>SE Ranking tracked keywords</x:v>
      </x:c>
      <x:c r="F176" t="str">
        <x:v>https://online.seranking.com/</x:v>
      </x:c>
    </x:row>
    <x:row r="177">
      <x:c r="A177" t="str">
        <x:v>repair shop marketing</x:v>
      </x:c>
      <x:c r="B177" s="13" t="n">
        <x:v>50</x:v>
      </x:c>
      <x:c r="C177" s="13" t="n">
        <x:v>17</x:v>
      </x:c>
      <x:c r="D177" s="14" t="n">
        <x:v>0</x:v>
      </x:c>
      <x:c r="E177" t="str">
        <x:v>SE Ranking related: social media for auto repair shops; SE Ranking related: auto repair customer retention</x:v>
      </x:c>
      <x:c r="F177" t="str">
        <x:v>https://online.seranking.com/</x:v>
      </x:c>
    </x:row>
    <x:row r="178">
      <x:c r="A178" t="str">
        <x:v>auto direct mail marketing</x:v>
      </x:c>
      <x:c r="B178" s="13" t="n">
        <x:v>40</x:v>
      </x:c>
      <x:c r="C178" s="13" t="n">
        <x:v>6</x:v>
      </x:c>
      <x:c r="D178" s="14" t="n">
        <x:v>0</x:v>
      </x:c>
      <x:c r="E178" t="str">
        <x:v>SE Ranking related: auto repair direct mail</x:v>
      </x:c>
      <x:c r="F178" t="str">
        <x:v>https://online.seranking.com/</x:v>
      </x:c>
    </x:row>
    <x:row r="179">
      <x:c r="A179" t="str">
        <x:v>auto repair ads</x:v>
      </x:c>
      <x:c r="B179" s="13" t="n">
        <x:v>40</x:v>
      </x:c>
      <x:c r="C179" s="13" t="str"/>
      <x:c r="D179" s="14" t="n">
        <x:v>6.39</x:v>
      </x:c>
      <x:c r="E179" t="str">
        <x:v>SE Ranking tracked keywords</x:v>
      </x:c>
      <x:c r="F179" t="str">
        <x:v>https://online.seranking.com/</x:v>
      </x:c>
    </x:row>
    <x:row r="180">
      <x:c r="A180" t="str">
        <x:v>auto repair Facebook ads</x:v>
      </x:c>
      <x:c r="B180" s="13" t="n">
        <x:v>40</x:v>
      </x:c>
      <x:c r="C180" s="13" t="n">
        <x:v>5</x:v>
      </x:c>
      <x:c r="D180" s="14" t="n">
        <x:v>0</x:v>
      </x:c>
      <x:c r="E180" t="str">
        <x:v>SE Ranking tracked keywords; SE Ranking related: social media for auto repair shops</x:v>
      </x:c>
      <x:c r="F180" t="str">
        <x:v>https://online.seranking.com/</x:v>
      </x:c>
    </x:row>
    <x:row r="181">
      <x:c r="A181" t="str">
        <x:v>auto repair marketing agency</x:v>
      </x:c>
      <x:c r="B181" s="13" t="n">
        <x:v>40</x:v>
      </x:c>
      <x:c r="C181" s="13" t="n">
        <x:v>14</x:v>
      </x:c>
      <x:c r="D181" s="14" t="n">
        <x:v>4.51</x:v>
      </x:c>
      <x:c r="E181" t="str">
        <x:v>SE Ranking tracked keywords; SE Ranking gap: autoshopsolutions.com; SE Ranking gap: shopmarketingpros.com; SE Ranking gap: elementdma.com; SE Ranking gap: autoshopdigital.com</x:v>
      </x:c>
      <x:c r="F181" t="str">
        <x:v>https://online.seranking.com/</x:v>
      </x:c>
    </x:row>
    <x:row r="182">
      <x:c r="A182" t="str">
        <x:v>dealership customer retention</x:v>
      </x:c>
      <x:c r="B182" s="13" t="n">
        <x:v>40</x:v>
      </x:c>
      <x:c r="C182" s="13" t="n">
        <x:v>12</x:v>
      </x:c>
      <x:c r="D182" s="14" t="n">
        <x:v>0</x:v>
      </x:c>
      <x:c r="E182" t="str">
        <x:v>SE Ranking related: auto repair customer retention</x:v>
      </x:c>
      <x:c r="F182" t="str">
        <x:v>https://online.seranking.com/</x:v>
      </x:c>
    </x:row>
    <x:row r="183">
      <x:c r="A183" t="str">
        <x:v>direct mail automotive marketing</x:v>
      </x:c>
      <x:c r="B183" s="13" t="n">
        <x:v>40</x:v>
      </x:c>
      <x:c r="C183" s="13" t="n">
        <x:v>6</x:v>
      </x:c>
      <x:c r="D183" s="14" t="n">
        <x:v>0</x:v>
      </x:c>
      <x:c r="E183" t="str">
        <x:v>SE Ranking related: auto repair direct mail</x:v>
      </x:c>
      <x:c r="F183" t="str">
        <x:v>https://online.seranking.com/</x:v>
      </x:c>
    </x:row>
    <x:row r="184">
      <x:c r="A184" t="str">
        <x:v>mechanic advertising</x:v>
      </x:c>
      <x:c r="B184" s="13" t="n">
        <x:v>40</x:v>
      </x:c>
      <x:c r="C184" s="13" t="n">
        <x:v>16</x:v>
      </x:c>
      <x:c r="D184" s="14" t="n">
        <x:v>9.1</x:v>
      </x:c>
      <x:c r="E184" t="str">
        <x:v>SE Ranking related: social media for auto repair shops</x:v>
      </x:c>
      <x:c r="F184" t="str">
        <x:v>https://online.seranking.com/</x:v>
      </x:c>
    </x:row>
    <x:row r="185">
      <x:c r="A185" t="str">
        <x:v>auto postcards</x:v>
      </x:c>
      <x:c r="B185" s="13" t="n">
        <x:v>30</x:v>
      </x:c>
      <x:c r="C185" s="13" t="n">
        <x:v>8</x:v>
      </x:c>
      <x:c r="D185" s="14" t="n">
        <x:v>11.27</x:v>
      </x:c>
      <x:c r="E185" t="str">
        <x:v>SE Ranking related: auto repair direct mail</x:v>
      </x:c>
      <x:c r="F185" t="str">
        <x:v>https://online.seranking.com/</x:v>
      </x:c>
    </x:row>
    <x:row r="186">
      <x:c r="A186" t="str">
        <x:v>auto repair direct mail</x:v>
      </x:c>
      <x:c r="B186" s="13" t="n">
        <x:v>30</x:v>
      </x:c>
      <x:c r="C186" s="13" t="n">
        <x:v>5</x:v>
      </x:c>
      <x:c r="D186" s="14" t="n">
        <x:v>0</x:v>
      </x:c>
      <x:c r="E186" t="str">
        <x:v>SE Ranking tracked keywords; SE Ranking gap: autoshopsolutions.com; SE Ranking gap: kukui.com</x:v>
      </x:c>
      <x:c r="F186" t="str">
        <x:v>https://online.seranking.com/</x:v>
      </x:c>
    </x:row>
    <x:row r="187">
      <x:c r="A187" t="str">
        <x:v>auto repair seo service</x:v>
      </x:c>
      <x:c r="B187" s="13" t="n">
        <x:v>30</x:v>
      </x:c>
      <x:c r="C187" s="13" t="n">
        <x:v>12</x:v>
      </x:c>
      <x:c r="D187" s="14" t="n">
        <x:v>0</x:v>
      </x:c>
      <x:c r="E187" t="str">
        <x:v>SE Ranking gap: autoshopsolutions.com; SE Ranking gap: shopmarketingpros.com; SE Ranking gap: autoshopdigital.com</x:v>
      </x:c>
      <x:c r="F187" t="str">
        <x:v>https://autoshopsolutions.com/rpm/seo/</x:v>
      </x:c>
    </x:row>
    <x:row r="188">
      <x:c r="A188" t="str">
        <x:v>automotive branding agency</x:v>
      </x:c>
      <x:c r="B188" s="13" t="n">
        <x:v>30</x:v>
      </x:c>
      <x:c r="C188" s="13" t="str"/>
      <x:c r="D188" s="14" t="n">
        <x:v>0</x:v>
      </x:c>
      <x:c r="E188" t="str">
        <x:v>SE Ranking tracked keywords</x:v>
      </x:c>
      <x:c r="F188" t="str">
        <x:v>https://online.seranking.com/</x:v>
      </x:c>
    </x:row>
    <x:row r="189">
      <x:c r="A189" t="str">
        <x:v>automotive postcard</x:v>
      </x:c>
      <x:c r="B189" s="13" t="n">
        <x:v>30</x:v>
      </x:c>
      <x:c r="C189" s="13" t="n">
        <x:v>5</x:v>
      </x:c>
      <x:c r="D189" s="14" t="n">
        <x:v>11.27</x:v>
      </x:c>
      <x:c r="E189" t="str">
        <x:v>SE Ranking related: auto repair direct mail</x:v>
      </x:c>
      <x:c r="F189" t="str">
        <x:v>https://online.seranking.com/</x:v>
      </x:c>
    </x:row>
    <x:row r="190">
      <x:c r="A190" t="str">
        <x:v>automotive postcards</x:v>
      </x:c>
      <x:c r="B190" s="13" t="n">
        <x:v>30</x:v>
      </x:c>
      <x:c r="C190" s="13" t="n">
        <x:v>8</x:v>
      </x:c>
      <x:c r="D190" s="14" t="n">
        <x:v>11.27</x:v>
      </x:c>
      <x:c r="E190" t="str">
        <x:v>SE Ranking related: auto repair direct mail</x:v>
      </x:c>
      <x:c r="F190" t="str">
        <x:v>https://online.seranking.com/</x:v>
      </x:c>
    </x:row>
    <x:row r="191">
      <x:c r="A191" t="str">
        <x:v>body shop advertising ideas</x:v>
      </x:c>
      <x:c r="B191" s="13" t="n">
        <x:v>30</x:v>
      </x:c>
      <x:c r="C191" s="13" t="n">
        <x:v>6</x:v>
      </x:c>
      <x:c r="D191" s="14" t="n">
        <x:v>6.9</x:v>
      </x:c>
      <x:c r="E191" t="str">
        <x:v>SE Ranking related: social media for auto repair shops</x:v>
      </x:c>
      <x:c r="F191" t="str">
        <x:v>https://online.seranking.com/</x:v>
      </x:c>
    </x:row>
    <x:row r="192">
      <x:c r="A192" t="str">
        <x:v>mechanic advertising ideas</x:v>
      </x:c>
      <x:c r="B192" s="13" t="n">
        <x:v>30</x:v>
      </x:c>
      <x:c r="C192" s="13" t="n">
        <x:v>16</x:v>
      </x:c>
      <x:c r="D192" s="14" t="n">
        <x:v>0</x:v>
      </x:c>
      <x:c r="E192" t="str">
        <x:v>SE Ranking related: auto repair direct mail</x:v>
      </x:c>
      <x:c r="F192" t="str">
        <x:v>https://online.seranking.com/</x:v>
      </x:c>
    </x:row>
    <x:row r="193">
      <x:c r="A193" t="str">
        <x:v>mechanic shop advertising</x:v>
      </x:c>
      <x:c r="B193" s="13" t="n">
        <x:v>30</x:v>
      </x:c>
      <x:c r="C193" s="13" t="n">
        <x:v>18</x:v>
      </x:c>
      <x:c r="D193" s="14" t="n">
        <x:v>5.23</x:v>
      </x:c>
      <x:c r="E193" t="str">
        <x:v>SE Ranking related: social media for auto repair shops</x:v>
      </x:c>
      <x:c r="F193" t="str">
        <x:v>https://online.seranking.com/</x:v>
      </x:c>
    </x:row>
    <x:row r="194">
      <x:c r="A194" t="str">
        <x:v>repair shop marketing tools</x:v>
      </x:c>
      <x:c r="B194" s="13" t="n">
        <x:v>30</x:v>
      </x:c>
      <x:c r="C194" s="13" t="n">
        <x:v>10</x:v>
      </x:c>
      <x:c r="D194" s="14" t="n">
        <x:v>6.92</x:v>
      </x:c>
      <x:c r="E194" t="str">
        <x:v>SE Ranking related: auto repair direct mail; SE Ranking related: social media for auto repair shops</x:v>
      </x:c>
      <x:c r="F194" t="str">
        <x:v>https://online.seranking.com/</x:v>
      </x:c>
    </x:row>
    <x:row r="195">
      <x:c r="A195" t="str">
        <x:v>what is the labor rate for auto repairs</x:v>
      </x:c>
      <x:c r="B195" s="13" t="n">
        <x:v>30</x:v>
      </x:c>
      <x:c r="C195" s="13" t="n">
        <x:v>32</x:v>
      </x:c>
      <x:c r="D195" s="14" t="n">
        <x:v>0</x:v>
      </x:c>
      <x:c r="E195" t="str">
        <x:v>SE Ranking gap: elementdma.com</x:v>
      </x:c>
      <x:c r="F195" t="str">
        <x:v>https://elementdma.com/tools/labor-rate-calculator/</x:v>
      </x:c>
    </x:row>
    <x:row r="196">
      <x:c r="A196" t="str">
        <x:v>auto dealership direct mail</x:v>
      </x:c>
      <x:c r="B196" s="13" t="n">
        <x:v>20</x:v>
      </x:c>
      <x:c r="C196" s="13" t="n">
        <x:v>5</x:v>
      </x:c>
      <x:c r="D196" s="14" t="n">
        <x:v>6.79</x:v>
      </x:c>
      <x:c r="E196" t="str">
        <x:v>SE Ranking related: auto repair direct mail</x:v>
      </x:c>
      <x:c r="F196" t="str">
        <x:v>https://online.seranking.com/</x:v>
      </x:c>
    </x:row>
    <x:row r="197">
      <x:c r="A197" t="str">
        <x:v>auto mechanic advertising</x:v>
      </x:c>
      <x:c r="B197" s="13" t="n">
        <x:v>20</x:v>
      </x:c>
      <x:c r="C197" s="13" t="n">
        <x:v>8</x:v>
      </x:c>
      <x:c r="D197" s="14" t="n">
        <x:v>0</x:v>
      </x:c>
      <x:c r="E197" t="str">
        <x:v>SE Ranking related: auto repair direct mail</x:v>
      </x:c>
      <x:c r="F197" t="str">
        <x:v>https://online.seranking.com/</x:v>
      </x:c>
    </x:row>
    <x:row r="198">
      <x:c r="A198" t="str">
        <x:v>auto repair PPC</x:v>
      </x:c>
      <x:c r="B198" s="13" t="n">
        <x:v>20</x:v>
      </x:c>
      <x:c r="C198" s="13" t="str"/>
      <x:c r="D198" s="14" t="n">
        <x:v>0</x:v>
      </x:c>
      <x:c r="E198" t="str">
        <x:v>SE Ranking tracked keywords</x:v>
      </x:c>
      <x:c r="F198" t="str">
        <x:v>https://online.seranking.com/</x:v>
      </x:c>
    </x:row>
    <x:row r="199">
      <x:c r="A199" t="str">
        <x:v>auto repair social media marketing</x:v>
      </x:c>
      <x:c r="B199" s="13" t="n">
        <x:v>20</x:v>
      </x:c>
      <x:c r="C199" s="13" t="n">
        <x:v>6</x:v>
      </x:c>
      <x:c r="D199" s="14" t="n">
        <x:v>0</x:v>
      </x:c>
      <x:c r="E199" t="str">
        <x:v>SE Ranking tracked keywords; SE Ranking gap: autoshopsolutions.com; SE Ranking gap: shopmarketingpros.com; SE Ranking gap: autoshopdigital.com</x:v>
      </x:c>
      <x:c r="F199" t="str">
        <x:v>https://online.seranking.com/</x:v>
      </x:c>
    </x:row>
    <x:row r="200">
      <x:c r="A200" t="str">
        <x:v>automotive direct mail companies</x:v>
      </x:c>
      <x:c r="B200" s="13" t="n">
        <x:v>20</x:v>
      </x:c>
      <x:c r="C200" s="13" t="n">
        <x:v>5</x:v>
      </x:c>
      <x:c r="D200" s="14" t="n">
        <x:v>0</x:v>
      </x:c>
      <x:c r="E200" t="str">
        <x:v>SE Ranking related: auto repair direct mail</x:v>
      </x:c>
      <x:c r="F200" t="str">
        <x:v>https://online.seranking.com/</x:v>
      </x:c>
    </x:row>
    <x:row r="201">
      <x:c r="A201" t="str">
        <x:v>automotive direct mail services</x:v>
      </x:c>
      <x:c r="B201" s="13" t="n">
        <x:v>20</x:v>
      </x:c>
      <x:c r="C201" s="13" t="n">
        <x:v>4</x:v>
      </x:c>
      <x:c r="D201" s="14" t="n">
        <x:v>0</x:v>
      </x:c>
      <x:c r="E201" t="str">
        <x:v>SE Ranking related: auto repair direct mail</x:v>
      </x:c>
      <x:c r="F201" t="str">
        <x:v>https://online.seranking.com/</x:v>
      </x:c>
    </x:row>
    <x:row r="202">
      <x:c r="A202" t="str">
        <x:v>automotive marketing ideas</x:v>
      </x:c>
      <x:c r="B202" s="13" t="n">
        <x:v>20</x:v>
      </x:c>
      <x:c r="C202" s="13" t="str"/>
      <x:c r="D202" s="14" t="n">
        <x:v>0</x:v>
      </x:c>
      <x:c r="E202" t="str">
        <x:v>SE Ranking tracked keywords</x:v>
      </x:c>
      <x:c r="F202" t="str">
        <x:v>https://online.seranking.com/</x:v>
      </x:c>
    </x:row>
    <x:row r="203">
      <x:c r="A203" t="str">
        <x:v>automotive service direct mail</x:v>
      </x:c>
      <x:c r="B203" s="13" t="n">
        <x:v>20</x:v>
      </x:c>
      <x:c r="C203" s="13" t="n">
        <x:v>4</x:v>
      </x:c>
      <x:c r="D203" s="14" t="n">
        <x:v>0</x:v>
      </x:c>
      <x:c r="E203" t="str">
        <x:v>SE Ranking related: auto repair direct mail</x:v>
      </x:c>
      <x:c r="F203" t="str">
        <x:v>https://online.seranking.com/</x:v>
      </x:c>
    </x:row>
    <x:row r="204">
      <x:c r="A204" t="str">
        <x:v>average hourly labor rate auto repair</x:v>
      </x:c>
      <x:c r="B204" s="13" t="n">
        <x:v>20</x:v>
      </x:c>
      <x:c r="C204" s="13" t="n">
        <x:v>24</x:v>
      </x:c>
      <x:c r="D204" s="14" t="n">
        <x:v>0</x:v>
      </x:c>
      <x:c r="E204" t="str">
        <x:v>SE Ranking gap: elementdma.com</x:v>
      </x:c>
      <x:c r="F204" t="str">
        <x:v>https://elementdma.com/tools/labor-rate-calculator/</x:v>
      </x:c>
    </x:row>
    <x:row r="205">
      <x:c r="A205" t="str">
        <x:v>car dealer direct mail</x:v>
      </x:c>
      <x:c r="B205" s="13" t="n">
        <x:v>20</x:v>
      </x:c>
      <x:c r="C205" s="13" t="n">
        <x:v>4</x:v>
      </x:c>
      <x:c r="D205" s="14" t="n">
        <x:v>6.79</x:v>
      </x:c>
      <x:c r="E205" t="str">
        <x:v>SE Ranking related: auto repair direct mail</x:v>
      </x:c>
      <x:c r="F205" t="str">
        <x:v>https://online.seranking.com/</x:v>
      </x:c>
    </x:row>
    <x:row r="206">
      <x:c r="A206" t="str">
        <x:v>car dealer mailers</x:v>
      </x:c>
      <x:c r="B206" s="13" t="n">
        <x:v>20</x:v>
      </x:c>
      <x:c r="C206" s="13" t="n">
        <x:v>4</x:v>
      </x:c>
      <x:c r="D206" s="14" t="n">
        <x:v>0</x:v>
      </x:c>
      <x:c r="E206" t="str">
        <x:v>SE Ranking related: auto repair direct mail</x:v>
      </x:c>
      <x:c r="F206" t="str">
        <x:v>https://online.seranking.com/</x:v>
      </x:c>
    </x:row>
    <x:row r="207">
      <x:c r="A207" t="str">
        <x:v>car dealership direct mail</x:v>
      </x:c>
      <x:c r="B207" s="13" t="n">
        <x:v>20</x:v>
      </x:c>
      <x:c r="C207" s="13" t="n">
        <x:v>5</x:v>
      </x:c>
      <x:c r="D207" s="14" t="n">
        <x:v>6.79</x:v>
      </x:c>
      <x:c r="E207" t="str">
        <x:v>SE Ranking related: auto repair direct mail</x:v>
      </x:c>
      <x:c r="F207" t="str">
        <x:v>https://online.seranking.com/</x:v>
      </x:c>
    </x:row>
    <x:row r="208">
      <x:c r="A208" t="str">
        <x:v>car dealership mailers</x:v>
      </x:c>
      <x:c r="B208" s="13" t="n">
        <x:v>20</x:v>
      </x:c>
      <x:c r="C208" s="13" t="n">
        <x:v>5</x:v>
      </x:c>
      <x:c r="D208" s="14" t="n">
        <x:v>0</x:v>
      </x:c>
      <x:c r="E208" t="str">
        <x:v>SE Ranking related: auto repair direct mail</x:v>
      </x:c>
      <x:c r="F208" t="str">
        <x:v>https://online.seranking.com/</x:v>
      </x:c>
    </x:row>
    <x:row r="209">
      <x:c r="A209" t="str">
        <x:v>direct mail auto dealer</x:v>
      </x:c>
      <x:c r="B209" s="13" t="n">
        <x:v>20</x:v>
      </x:c>
      <x:c r="C209" s="13" t="n">
        <x:v>5</x:v>
      </x:c>
      <x:c r="D209" s="14" t="n">
        <x:v>6.79</x:v>
      </x:c>
      <x:c r="E209" t="str">
        <x:v>SE Ranking related: auto repair direct mail</x:v>
      </x:c>
      <x:c r="F209" t="str">
        <x:v>https://online.seranking.com/</x:v>
      </x:c>
    </x:row>
    <x:row r="210">
      <x:c r="A210" t="str">
        <x:v>direct mail auto repair</x:v>
      </x:c>
      <x:c r="B210" s="13" t="n">
        <x:v>20</x:v>
      </x:c>
      <x:c r="C210" s="13" t="n">
        <x:v>5</x:v>
      </x:c>
      <x:c r="D210" s="14" t="n">
        <x:v>0</x:v>
      </x:c>
      <x:c r="E210" t="str">
        <x:v>SE Ranking related: auto repair direct mail; SE Ranking gap: autoshopsolutions.com; SE Ranking gap: kukui.com</x:v>
      </x:c>
      <x:c r="F210" t="str">
        <x:v>https://online.seranking.com/</x:v>
      </x:c>
    </x:row>
    <x:row r="211">
      <x:c r="A211" t="str">
        <x:v>direct mail car dealers</x:v>
      </x:c>
      <x:c r="B211" s="13" t="n">
        <x:v>20</x:v>
      </x:c>
      <x:c r="C211" s="13" t="n">
        <x:v>4</x:v>
      </x:c>
      <x:c r="D211" s="14" t="n">
        <x:v>6.79</x:v>
      </x:c>
      <x:c r="E211" t="str">
        <x:v>SE Ranking related: auto repair direct mail</x:v>
      </x:c>
      <x:c r="F211" t="str">
        <x:v>https://online.seranking.com/</x:v>
      </x:c>
    </x:row>
    <x:row r="212">
      <x:c r="A212" t="str">
        <x:v>direct mail for auto dealers</x:v>
      </x:c>
      <x:c r="B212" s="13" t="n">
        <x:v>20</x:v>
      </x:c>
      <x:c r="C212" s="13" t="n">
        <x:v>5</x:v>
      </x:c>
      <x:c r="D212" s="14" t="n">
        <x:v>6.79</x:v>
      </x:c>
      <x:c r="E212" t="str">
        <x:v>SE Ranking related: auto repair direct mail</x:v>
      </x:c>
      <x:c r="F212" t="str">
        <x:v>https://online.seranking.com/</x:v>
      </x:c>
    </x:row>
    <x:row r="213">
      <x:c r="A213" t="str">
        <x:v>direct mail for car dealers</x:v>
      </x:c>
      <x:c r="B213" s="13" t="n">
        <x:v>20</x:v>
      </x:c>
      <x:c r="C213" s="13" t="n">
        <x:v>4</x:v>
      </x:c>
      <x:c r="D213" s="14" t="n">
        <x:v>6.79</x:v>
      </x:c>
      <x:c r="E213" t="str">
        <x:v>SE Ranking related: auto repair direct mail</x:v>
      </x:c>
      <x:c r="F213" t="str">
        <x:v>https://online.seranking.com/</x:v>
      </x:c>
    </x:row>
    <x:row r="214">
      <x:c r="A214" t="str">
        <x:v>national average labor rate for auto repair</x:v>
      </x:c>
      <x:c r="B214" s="13" t="n">
        <x:v>20</x:v>
      </x:c>
      <x:c r="C214" s="13" t="n">
        <x:v>29</x:v>
      </x:c>
      <x:c r="D214" s="14" t="n">
        <x:v>0</x:v>
      </x:c>
      <x:c r="E214" t="str">
        <x:v>SE Ranking gap: elementdma.com</x:v>
      </x:c>
      <x:c r="F214" t="str">
        <x:v>https://elementdma.com/tools/labor-rate-calculator/</x:v>
      </x:c>
    </x:row>
    <x:row r="215">
      <x:c r="A215" t="str">
        <x:v>social media for auto repair shops</x:v>
      </x:c>
      <x:c r="B215" s="13" t="n">
        <x:v>20</x:v>
      </x:c>
      <x:c r="C215" s="13" t="str"/>
      <x:c r="D215" s="14" t="n">
        <x:v>0</x:v>
      </x:c>
      <x:c r="E215" t="str">
        <x:v>SE Ranking tracked keywords</x:v>
      </x:c>
      <x:c r="F215" t="str">
        <x:v>https://online.seranking.com/</x:v>
      </x:c>
    </x:row>
    <x:row r="216">
      <x:c r="A216" t="str">
        <x:v>atlanta auto repair marketing</x:v>
      </x:c>
      <x:c r="B216" s="13" t="n">
        <x:v>10</x:v>
      </x:c>
      <x:c r="C216" s="13" t="n">
        <x:v>11</x:v>
      </x:c>
      <x:c r="D216" s="14" t="n">
        <x:v>0</x:v>
      </x:c>
      <x:c r="E216" t="str">
        <x:v>SE Ranking gap: shopmarketingpros.com</x:v>
      </x:c>
      <x:c r="F216" t="str">
        <x:v>https://shopmarketingpros.com/how-to-create-a-real-world-marketing-plan-for-an-auto-repair-shop/</x:v>
      </x:c>
    </x:row>
    <x:row r="217">
      <x:c r="A217" t="str">
        <x:v>auto dealer direct mail marketing</x:v>
      </x:c>
      <x:c r="B217" s="13" t="n">
        <x:v>10</x:v>
      </x:c>
      <x:c r="C217" s="13" t="n">
        <x:v>5</x:v>
      </x:c>
      <x:c r="D217" s="14" t="n">
        <x:v>0</x:v>
      </x:c>
      <x:c r="E217" t="str">
        <x:v>SE Ranking related: auto repair direct mail</x:v>
      </x:c>
      <x:c r="F217" t="str">
        <x:v>https://online.seranking.com/</x:v>
      </x:c>
    </x:row>
    <x:row r="218">
      <x:c r="A218" t="str">
        <x:v>auto dealer direct marketing</x:v>
      </x:c>
      <x:c r="B218" s="13" t="n">
        <x:v>10</x:v>
      </x:c>
      <x:c r="C218" s="13" t="n">
        <x:v>7</x:v>
      </x:c>
      <x:c r="D218" s="14" t="n">
        <x:v>0</x:v>
      </x:c>
      <x:c r="E218" t="str">
        <x:v>SE Ranking related: auto repair direct mail</x:v>
      </x:c>
      <x:c r="F218" t="str">
        <x:v>https://online.seranking.com/</x:v>
      </x:c>
    </x:row>
    <x:row r="219">
      <x:c r="A219" t="str">
        <x:v>auto direct mail pieces</x:v>
      </x:c>
      <x:c r="B219" s="13" t="n">
        <x:v>10</x:v>
      </x:c>
      <x:c r="C219" s="13" t="n">
        <x:v>5</x:v>
      </x:c>
      <x:c r="D219" s="14" t="n">
        <x:v>0</x:v>
      </x:c>
      <x:c r="E219" t="str">
        <x:v>SE Ranking related: auto repair direct mail</x:v>
      </x:c>
      <x:c r="F219" t="str">
        <x:v>https://online.seranking.com/</x:v>
      </x:c>
    </x:row>
    <x:row r="220">
      <x:c r="A220" t="str">
        <x:v>auto direct marketing</x:v>
      </x:c>
      <x:c r="B220" s="13" t="n">
        <x:v>10</x:v>
      </x:c>
      <x:c r="C220" s="13" t="n">
        <x:v>6</x:v>
      </x:c>
      <x:c r="D220" s="14" t="n">
        <x:v>4.24</x:v>
      </x:c>
      <x:c r="E220" t="str">
        <x:v>SE Ranking related: auto repair direct mail</x:v>
      </x:c>
      <x:c r="F220" t="str">
        <x:v>https://online.seranking.com/</x:v>
      </x:c>
    </x:row>
    <x:row r="221">
      <x:c r="A221" t="str">
        <x:v>auto repair advertising signs</x:v>
      </x:c>
      <x:c r="B221" s="13" t="n">
        <x:v>10</x:v>
      </x:c>
      <x:c r="C221" s="13" t="n">
        <x:v>5</x:v>
      </x:c>
      <x:c r="D221" s="14" t="n">
        <x:v>0</x:v>
      </x:c>
      <x:c r="E221" t="str">
        <x:v>SE Ranking gap: autoshopdigital.com</x:v>
      </x:c>
      <x:c r="F221" t="str">
        <x:v>https://www.autoshopdigital.com/auto-repair-shop-signage-why-you-need-one-for-your-marketing-strategy</x:v>
      </x:c>
    </x:row>
    <x:row r="222">
      <x:c r="A222" t="str">
        <x:v>auto repair b2b lead generation</x:v>
      </x:c>
      <x:c r="B222" s="13" t="n">
        <x:v>10</x:v>
      </x:c>
      <x:c r="C222" s="13" t="n">
        <x:v>12</x:v>
      </x:c>
      <x:c r="D222" s="14" t="n">
        <x:v>0</x:v>
      </x:c>
      <x:c r="E222" t="str">
        <x:v>SE Ranking gap: autoshopdigital.com</x:v>
      </x:c>
      <x:c r="F222" t="str">
        <x:v>https://www.autoshopdigital.com/what-advertising-channels-should-your-auto-shop-use</x:v>
      </x:c>
    </x:row>
    <x:row r="223">
      <x:c r="A223" t="str">
        <x:v>auto repair customer loyalty programs</x:v>
      </x:c>
      <x:c r="B223" s="13" t="n">
        <x:v>10</x:v>
      </x:c>
      <x:c r="C223" s="13" t="n">
        <x:v>8</x:v>
      </x:c>
      <x:c r="D223" s="14" t="n">
        <x:v>0</x:v>
      </x:c>
      <x:c r="E223" t="str">
        <x:v>SE Ranking related: auto repair customer retention</x:v>
      </x:c>
      <x:c r="F223" t="str">
        <x:v>https://online.seranking.com/</x:v>
      </x:c>
    </x:row>
    <x:row r="224">
      <x:c r="A224" t="str">
        <x:v>auto repair digital marketing agency</x:v>
      </x:c>
      <x:c r="B224" s="13" t="n">
        <x:v>10</x:v>
      </x:c>
      <x:c r="C224" s="13" t="n">
        <x:v>19</x:v>
      </x:c>
      <x:c r="D224" s="14" t="n">
        <x:v>0</x:v>
      </x:c>
      <x:c r="E224" t="str">
        <x:v>SE Ranking gap: autoshopsolutions.com; SE Ranking gap: shopmarketingpros.com; SE Ranking gap: elementdma.com; SE Ranking gap: autoshopdigital.com; SE Ranking gap: tunedupdigital.com</x:v>
      </x:c>
      <x:c r="F224" t="str">
        <x:v>https://autoshopsolutions.com/industries/auto-repair/</x:v>
      </x:c>
    </x:row>
    <x:row r="225">
      <x:c r="A225" t="str">
        <x:v>auto repair direct mail marketing</x:v>
      </x:c>
      <x:c r="B225" s="13" t="n">
        <x:v>10</x:v>
      </x:c>
      <x:c r="C225" s="13" t="n">
        <x:v>5</x:v>
      </x:c>
      <x:c r="D225" s="14" t="n">
        <x:v>0</x:v>
      </x:c>
      <x:c r="E225" t="str">
        <x:v>SE Ranking gap: autoshopsolutions.com; SE Ranking gap: kukui.com</x:v>
      </x:c>
      <x:c r="F225" t="str">
        <x:v>https://autoshopsolutions.com/10-tips-for-getting-the-most-out-of-your-direct-mail-marketing-campaign/#:~:text=Autoshop%20Mail%20gives%20your%20potential,card%20in%20to%20your%20shop.</x:v>
      </x:c>
    </x:row>
    <x:row r="226">
      <x:c r="A226" t="str">
        <x:v>auto repair email marketing</x:v>
      </x:c>
      <x:c r="B226" s="13" t="n">
        <x:v>10</x:v>
      </x:c>
      <x:c r="C226" s="13" t="n">
        <x:v>5</x:v>
      </x:c>
      <x:c r="D226" s="14" t="n">
        <x:v>0</x:v>
      </x:c>
      <x:c r="E226" t="str">
        <x:v>SE Ranking tracked keywords; SE Ranking gap: shopmarketingpros.com; SE Ranking gap: kukui.com</x:v>
      </x:c>
      <x:c r="F226" t="str">
        <x:v>https://online.seranking.com/</x:v>
      </x:c>
    </x:row>
    <x:row r="227">
      <x:c r="A227" t="str">
        <x:v>auto repair labor rate guide</x:v>
      </x:c>
      <x:c r="B227" s="13" t="n">
        <x:v>10</x:v>
      </x:c>
      <x:c r="C227" s="13" t="n">
        <x:v>28</x:v>
      </x:c>
      <x:c r="D227" s="14" t="n">
        <x:v>0</x:v>
      </x:c>
      <x:c r="E227" t="str">
        <x:v>SE Ranking gap: elementdma.com</x:v>
      </x:c>
      <x:c r="F227" t="str">
        <x:v>https://elementdma.com/tools/labor-rate-calculator/</x:v>
      </x:c>
    </x:row>
    <x:row r="228">
      <x:c r="A228" t="str">
        <x:v>auto repair labor rate per hour</x:v>
      </x:c>
      <x:c r="B228" s="13" t="n">
        <x:v>10</x:v>
      </x:c>
      <x:c r="C228" s="13" t="n">
        <x:v>24</x:v>
      </x:c>
      <x:c r="D228" s="14" t="n">
        <x:v>0</x:v>
      </x:c>
      <x:c r="E228" t="str">
        <x:v>SE Ranking gap: elementdma.com</x:v>
      </x:c>
      <x:c r="F228" t="str">
        <x:v>https://elementdma.com/tools/labor-rate-calculator/</x:v>
      </x:c>
    </x:row>
    <x:row r="229">
      <x:c r="A229" t="str">
        <x:v>auto repair labor rates by state</x:v>
      </x:c>
      <x:c r="B229" s="13" t="n">
        <x:v>10</x:v>
      </x:c>
      <x:c r="C229" s="13" t="n">
        <x:v>25</x:v>
      </x:c>
      <x:c r="D229" s="14" t="n">
        <x:v>0</x:v>
      </x:c>
      <x:c r="E229" t="str">
        <x:v>SE Ranking gap: elementdma.com</x:v>
      </x:c>
      <x:c r="F229" t="str">
        <x:v>https://elementdma.com/tools/labor-rate-calculator/</x:v>
      </x:c>
    </x:row>
    <x:row r="230">
      <x:c r="A230" t="str">
        <x:v>auto repair labor rates calculator</x:v>
      </x:c>
      <x:c r="B230" s="13" t="n">
        <x:v>10</x:v>
      </x:c>
      <x:c r="C230" s="13" t="n">
        <x:v>40</x:v>
      </x:c>
      <x:c r="D230" s="14" t="n">
        <x:v>0</x:v>
      </x:c>
      <x:c r="E230" t="str">
        <x:v>SE Ranking gap: elementdma.com</x:v>
      </x:c>
      <x:c r="F230" t="str">
        <x:v>https://elementdma.com/tools/labor-rate-calculator/</x:v>
      </x:c>
    </x:row>
    <x:row r="231">
      <x:c r="A231" t="str">
        <x:v>auto repair labor rates database</x:v>
      </x:c>
      <x:c r="B231" s="13" t="n">
        <x:v>10</x:v>
      </x:c>
      <x:c r="C231" s="13" t="n">
        <x:v>20</x:v>
      </x:c>
      <x:c r="D231" s="14" t="n">
        <x:v>0</x:v>
      </x:c>
      <x:c r="E231" t="str">
        <x:v>SE Ranking gap: elementdma.com</x:v>
      </x:c>
      <x:c r="F231" t="str">
        <x:v>https://elementdma.com/tools/labor-rate-calculator/</x:v>
      </x:c>
    </x:row>
    <x:row r="232">
      <x:c r="A232" t="str">
        <x:v>auto repair lead generation agency</x:v>
      </x:c>
      <x:c r="B232" s="13" t="n">
        <x:v>10</x:v>
      </x:c>
      <x:c r="C232" s="13" t="n">
        <x:v>12</x:v>
      </x:c>
      <x:c r="D232" s="14" t="n">
        <x:v>0</x:v>
      </x:c>
      <x:c r="E232" t="str">
        <x:v>SE Ranking gap: autoshopsolutions.com; SE Ranking gap: shopmarketingpros.com; SE Ranking gap: autoshopdigital.com</x:v>
      </x:c>
      <x:c r="F232" t="str">
        <x:v>https://autoshopsolutions.com/industries/auto-repair/</x:v>
      </x:c>
    </x:row>
    <x:row r="233">
      <x:c r="A233" t="str">
        <x:v>auto repair lead generation services</x:v>
      </x:c>
      <x:c r="B233" s="13" t="n">
        <x:v>10</x:v>
      </x:c>
      <x:c r="C233" s="13" t="n">
        <x:v>12</x:v>
      </x:c>
      <x:c r="D233" s="14" t="n">
        <x:v>0</x:v>
      </x:c>
      <x:c r="E233" t="str">
        <x:v>SE Ranking gap: autoshopsolutions.com; SE Ranking gap: shopmarketingpros.com; SE Ranking gap: elementdma.com</x:v>
      </x:c>
      <x:c r="F233" t="str">
        <x:v>https://autoshopsolutions.com/partners/</x:v>
      </x:c>
    </x:row>
    <x:row r="234">
      <x:c r="A234" t="str">
        <x:v>auto repair marketing atlanta</x:v>
      </x:c>
      <x:c r="B234" s="13" t="n">
        <x:v>10</x:v>
      </x:c>
      <x:c r="C234" s="13" t="n">
        <x:v>18</x:v>
      </x:c>
      <x:c r="D234" s="14" t="n">
        <x:v>0</x:v>
      </x:c>
      <x:c r="E234" t="str">
        <x:v>SE Ranking gap: autoshopsolutions.com; SE Ranking gap: shopmarketingpros.com</x:v>
      </x:c>
      <x:c r="F234" t="str">
        <x:v>https://autoshopsolutions.com/</x:v>
      </x:c>
    </x:row>
    <x:row r="235">
      <x:c r="A235" t="str">
        <x:v>auto repair marketing software</x:v>
      </x:c>
      <x:c r="B235" s="13" t="n">
        <x:v>10</x:v>
      </x:c>
      <x:c r="C235" s="13" t="n">
        <x:v>33</x:v>
      </x:c>
      <x:c r="D235" s="14" t="n">
        <x:v>0</x:v>
      </x:c>
      <x:c r="E235" t="str">
        <x:v>SE Ranking gap: elementdma.com</x:v>
      </x:c>
      <x:c r="F235" t="str">
        <x:v>https://elementdma.com/blog/top-17-crm-systems-for-automotive-repair-businesses-comparison-of-features-pricing-and-benefits/</x:v>
      </x:c>
    </x:row>
    <x:row r="236">
      <x:c r="A236" t="str">
        <x:v>auto repair marketing tips</x:v>
      </x:c>
      <x:c r="B236" s="13" t="n">
        <x:v>10</x:v>
      </x:c>
      <x:c r="C236" s="13" t="n">
        <x:v>17</x:v>
      </x:c>
      <x:c r="D236" s="14" t="n">
        <x:v>0</x:v>
      </x:c>
      <x:c r="E236" t="str">
        <x:v>SE Ranking gap: autoshopsolutions.com; SE Ranking gap: shopmarketingpros.com; SE Ranking gap: autoshopdigital.com</x:v>
      </x:c>
      <x:c r="F236" t="str">
        <x:v>https://autoshopsolutions.com/industries/auto-repair/</x:v>
      </x:c>
    </x:row>
    <x:row r="237">
      <x:c r="A237" t="str">
        <x:v>auto repair postcards</x:v>
      </x:c>
      <x:c r="B237" s="13" t="n">
        <x:v>10</x:v>
      </x:c>
      <x:c r="C237" s="13" t="n">
        <x:v>6</x:v>
      </x:c>
      <x:c r="D237" s="14" t="n">
        <x:v>0</x:v>
      </x:c>
      <x:c r="E237" t="str">
        <x:v>SE Ranking related: auto repair direct mail</x:v>
      </x:c>
      <x:c r="F237" t="str">
        <x:v>https://online.seranking.com/</x:v>
      </x:c>
    </x:row>
    <x:row r="238">
      <x:c r="A238" t="str">
        <x:v>auto repair seo experts</x:v>
      </x:c>
      <x:c r="B238" s="13" t="n">
        <x:v>10</x:v>
      </x:c>
      <x:c r="C238" s="13" t="n">
        <x:v>10</x:v>
      </x:c>
      <x:c r="D238" s="14" t="n">
        <x:v>0</x:v>
      </x:c>
      <x:c r="E238" t="str">
        <x:v>SE Ranking gap: autoshopsolutions.com; SE Ranking gap: shopmarketingpros.com; SE Ranking gap: autoshopdigital.com</x:v>
      </x:c>
      <x:c r="F238" t="str">
        <x:v>https://autoshopsolutions.com/rpm/seo/</x:v>
      </x:c>
    </x:row>
    <x:row r="239">
      <x:c r="A239" t="str">
        <x:v>auto repair shop digital marketing</x:v>
      </x:c>
      <x:c r="B239" s="13" t="n">
        <x:v>10</x:v>
      </x:c>
      <x:c r="C239" s="13" t="n">
        <x:v>28</x:v>
      </x:c>
      <x:c r="D239" s="14" t="n">
        <x:v>0</x:v>
      </x:c>
      <x:c r="E239" t="str">
        <x:v>SE Ranking tracked keywords; SE Ranking gap: autoshopsolutions.com; SE Ranking gap: shopmarketingpros.com; SE Ranking gap: kukui.com; SE Ranking gap: elementdma.com; SE Ranking gap: autoshopdigital.com</x:v>
      </x:c>
      <x:c r="F239" t="str">
        <x:v>https://online.seranking.com/</x:v>
      </x:c>
    </x:row>
    <x:row r="240">
      <x:c r="A240" t="str">
        <x:v>auto repair shop direct mail</x:v>
      </x:c>
      <x:c r="B240" s="13" t="n">
        <x:v>10</x:v>
      </x:c>
      <x:c r="C240" s="13" t="str"/>
      <x:c r="D240" s="14" t="n">
        <x:v>0</x:v>
      </x:c>
      <x:c r="E240" t="str">
        <x:v>SE Ranking tracked keywords</x:v>
      </x:c>
      <x:c r="F240" t="str">
        <x:v>https://online.seranking.com/</x:v>
      </x:c>
    </x:row>
    <x:row r="241">
      <x:c r="A241" t="str">
        <x:v>auto repair shop email marketing</x:v>
      </x:c>
      <x:c r="B241" s="13" t="n">
        <x:v>10</x:v>
      </x:c>
      <x:c r="C241" s="13" t="n">
        <x:v>11</x:v>
      </x:c>
      <x:c r="D241" s="14" t="n">
        <x:v>0</x:v>
      </x:c>
      <x:c r="E241" t="str">
        <x:v>SE Ranking tracked keywords; SE Ranking gap: autoshopsolutions.com; SE Ranking gap: shopmarketingpros.com</x:v>
      </x:c>
      <x:c r="F241" t="str">
        <x:v>https://online.seranking.com/</x:v>
      </x:c>
    </x:row>
    <x:row r="242">
      <x:c r="A242" t="str">
        <x:v>auto repair shop online marketing</x:v>
      </x:c>
      <x:c r="B242" s="13" t="n">
        <x:v>10</x:v>
      </x:c>
      <x:c r="C242" s="13" t="n">
        <x:v>11</x:v>
      </x:c>
      <x:c r="D242" s="14" t="n">
        <x:v>0</x:v>
      </x:c>
      <x:c r="E242" t="str">
        <x:v>SE Ranking gap: autoshopsolutions.com; SE Ranking gap: shopmarketingpros.com; SE Ranking gap: kukui.com; SE Ranking gap: autoshopdigital.com</x:v>
      </x:c>
      <x:c r="F242" t="str">
        <x:v>https://autoshopsolutions.com/industries/auto-repair/#:~:text=Our%20award%2Dwinning%20marketing%20services,comes%20up%20in%20top%20results!</x:v>
      </x:c>
    </x:row>
    <x:row r="243">
      <x:c r="A243" t="str">
        <x:v>auto repair shop social media marketing</x:v>
      </x:c>
      <x:c r="B243" s="13" t="n">
        <x:v>10</x:v>
      </x:c>
      <x:c r="C243" s="13" t="n">
        <x:v>6</x:v>
      </x:c>
      <x:c r="D243" s="14" t="n">
        <x:v>0</x:v>
      </x:c>
      <x:c r="E243" t="str">
        <x:v>SE Ranking gap: autoshopsolutions.com; SE Ranking gap: shopmarketingpros.com; SE Ranking gap: autoshopdigital.com</x:v>
      </x:c>
      <x:c r="F243" t="str">
        <x:v>https://autoshopsolutions.com/rpm/social-media/#:~:text=WHY%20AUTO%20SHOPS%20NEED%20SOCIAL,decisions%20to%20visit%20your%20business.</x:v>
      </x:c>
    </x:row>
    <x:row r="244">
      <x:c r="A244" t="str">
        <x:v>auto repair shops marketing</x:v>
      </x:c>
      <x:c r="B244" s="13" t="n">
        <x:v>10</x:v>
      </x:c>
      <x:c r="C244" s="13" t="n">
        <x:v>21</x:v>
      </x:c>
      <x:c r="D244" s="14" t="n">
        <x:v>8.57</x:v>
      </x:c>
      <x:c r="E244" t="str">
        <x:v>SE Ranking gap: autoshopsolutions.com; SE Ranking gap: shopmarketingpros.com</x:v>
      </x:c>
      <x:c r="F244" t="str">
        <x:v>https://autoshopsolutions.com/industries/auto-repair/</x:v>
      </x:c>
    </x:row>
    <x:row r="245">
      <x:c r="A245" t="str">
        <x:v>auto repair website</x:v>
      </x:c>
      <x:c r="B245" s="13" t="n">
        <x:v>10</x:v>
      </x:c>
      <x:c r="C245" s="13" t="str"/>
      <x:c r="D245" s="14" t="n">
        <x:v>2.26</x:v>
      </x:c>
      <x:c r="E245" t="str">
        <x:v>SE Ranking tracked keywords</x:v>
      </x:c>
      <x:c r="F245" t="str">
        <x:v>https://online.seranking.com/</x:v>
      </x:c>
    </x:row>
    <x:row r="246">
      <x:c r="A246" t="str">
        <x:v>auto repair websites</x:v>
      </x:c>
      <x:c r="B246" s="13" t="n">
        <x:v>10</x:v>
      </x:c>
      <x:c r="C246" s="13" t="str"/>
      <x:c r="D246" s="14" t="n">
        <x:v>2.26</x:v>
      </x:c>
      <x:c r="E246" t="str">
        <x:v>SE Ranking tracked keywords</x:v>
      </x:c>
      <x:c r="F246" t="str">
        <x:v>https://online.seranking.com/</x:v>
      </x:c>
    </x:row>
    <x:row r="247">
      <x:c r="A247" t="str">
        <x:v>auto retention</x:v>
      </x:c>
      <x:c r="B247" s="13" t="n">
        <x:v>10</x:v>
      </x:c>
      <x:c r="C247" s="13" t="n">
        <x:v>8</x:v>
      </x:c>
      <x:c r="D247" s="14" t="n">
        <x:v>0</x:v>
      </x:c>
      <x:c r="E247" t="str">
        <x:v>SE Ranking related: auto repair customer retention</x:v>
      </x:c>
      <x:c r="F247" t="str">
        <x:v>https://online.seranking.com/</x:v>
      </x:c>
    </x:row>
    <x:row r="248">
      <x:c r="A248" t="str">
        <x:v>auto retention solutions</x:v>
      </x:c>
      <x:c r="B248" s="13" t="n">
        <x:v>10</x:v>
      </x:c>
      <x:c r="C248" s="13" t="n">
        <x:v>10</x:v>
      </x:c>
      <x:c r="D248" s="14" t="n">
        <x:v>0</x:v>
      </x:c>
      <x:c r="E248" t="str">
        <x:v>SE Ranking related: auto repair customer retention</x:v>
      </x:c>
      <x:c r="F248" t="str">
        <x:v>https://online.seranking.com/</x:v>
      </x:c>
    </x:row>
    <x:row r="249">
      <x:c r="A249" t="str">
        <x:v>auto service mailers</x:v>
      </x:c>
      <x:c r="B249" s="13" t="n">
        <x:v>10</x:v>
      </x:c>
      <x:c r="C249" s="13" t="n">
        <x:v>5</x:v>
      </x:c>
      <x:c r="D249" s="14" t="n">
        <x:v>0</x:v>
      </x:c>
      <x:c r="E249" t="str">
        <x:v>SE Ranking related: auto repair direct mail</x:v>
      </x:c>
      <x:c r="F249" t="str">
        <x:v>https://online.seranking.com/</x:v>
      </x:c>
    </x:row>
    <x:row r="250">
      <x:c r="A250" t="str">
        <x:v>auto service marketing ideas</x:v>
      </x:c>
      <x:c r="B250" s="13" t="n">
        <x:v>10</x:v>
      </x:c>
      <x:c r="C250" s="13" t="n">
        <x:v>19</x:v>
      </x:c>
      <x:c r="D250" s="14" t="n">
        <x:v>0</x:v>
      </x:c>
      <x:c r="E250" t="str">
        <x:v>SE Ranking related: auto repair customer retention</x:v>
      </x:c>
      <x:c r="F250" t="str">
        <x:v>https://online.seranking.com/</x:v>
      </x:c>
    </x:row>
    <x:row r="251">
      <x:c r="A251" t="str">
        <x:v>automotive business marketing</x:v>
      </x:c>
      <x:c r="B251" s="13" t="n">
        <x:v>10</x:v>
      </x:c>
      <x:c r="C251" s="13" t="str"/>
      <x:c r="D251" s="14" t="n">
        <x:v>0</x:v>
      </x:c>
      <x:c r="E251" t="str">
        <x:v>SE Ranking tracked keywords</x:v>
      </x:c>
      <x:c r="F251" t="str">
        <x:v>https://online.seranking.com/</x:v>
      </x:c>
    </x:row>
    <x:row r="252">
      <x:c r="A252" t="str">
        <x:v>automotive customer retention programs</x:v>
      </x:c>
      <x:c r="B252" s="13" t="n">
        <x:v>10</x:v>
      </x:c>
      <x:c r="C252" s="13" t="n">
        <x:v>7</x:v>
      </x:c>
      <x:c r="D252" s="14" t="n">
        <x:v>0</x:v>
      </x:c>
      <x:c r="E252" t="str">
        <x:v>SE Ranking related: auto repair customer retention</x:v>
      </x:c>
      <x:c r="F252" t="str">
        <x:v>https://online.seranking.com/</x:v>
      </x:c>
    </x:row>
    <x:row r="253">
      <x:c r="A253" t="str">
        <x:v>automotive customer retention software</x:v>
      </x:c>
      <x:c r="B253" s="13" t="n">
        <x:v>10</x:v>
      </x:c>
      <x:c r="C253" s="13" t="n">
        <x:v>5</x:v>
      </x:c>
      <x:c r="D253" s="14" t="n">
        <x:v>0</x:v>
      </x:c>
      <x:c r="E253" t="str">
        <x:v>SE Ranking related: auto repair customer retention</x:v>
      </x:c>
      <x:c r="F253" t="str">
        <x:v>https://online.seranking.com/</x:v>
      </x:c>
    </x:row>
    <x:row r="254">
      <x:c r="A254" t="str">
        <x:v>automotive customer retention strategies</x:v>
      </x:c>
      <x:c r="B254" s="13" t="n">
        <x:v>10</x:v>
      </x:c>
      <x:c r="C254" s="13" t="n">
        <x:v>5</x:v>
      </x:c>
      <x:c r="D254" s="14" t="n">
        <x:v>0</x:v>
      </x:c>
      <x:c r="E254" t="str">
        <x:v>SE Ranking related: auto repair customer retention</x:v>
      </x:c>
      <x:c r="F254" t="str">
        <x:v>https://online.seranking.com/</x:v>
      </x:c>
    </x:row>
    <x:row r="255">
      <x:c r="A255" t="str">
        <x:v>automotive dealership customer retention statistics</x:v>
      </x:c>
      <x:c r="B255" s="13" t="n">
        <x:v>10</x:v>
      </x:c>
      <x:c r="C255" s="13" t="n">
        <x:v>8</x:v>
      </x:c>
      <x:c r="D255" s="14" t="n">
        <x:v>0</x:v>
      </x:c>
      <x:c r="E255" t="str">
        <x:v>SE Ranking related: auto repair customer retention</x:v>
      </x:c>
      <x:c r="F255" t="str">
        <x:v>https://online.seranking.com/</x:v>
      </x:c>
    </x:row>
    <x:row r="256">
      <x:c r="A256" t="str">
        <x:v>automotive direct mail examples</x:v>
      </x:c>
      <x:c r="B256" s="13" t="n">
        <x:v>10</x:v>
      </x:c>
      <x:c r="C256" s="13" t="n">
        <x:v>4</x:v>
      </x:c>
      <x:c r="D256" s="14" t="n">
        <x:v>0</x:v>
      </x:c>
      <x:c r="E256" t="str">
        <x:v>SE Ranking related: auto repair direct mail</x:v>
      </x:c>
      <x:c r="F256" t="str">
        <x:v>https://online.seranking.com/</x:v>
      </x:c>
    </x:row>
    <x:row r="257">
      <x:c r="A257" t="str">
        <x:v>automotive direct mail pieces</x:v>
      </x:c>
      <x:c r="B257" s="13" t="n">
        <x:v>10</x:v>
      </x:c>
      <x:c r="C257" s="13" t="n">
        <x:v>5</x:v>
      </x:c>
      <x:c r="D257" s="14" t="n">
        <x:v>0</x:v>
      </x:c>
      <x:c r="E257" t="str">
        <x:v>SE Ranking related: auto repair direct mail</x:v>
      </x:c>
      <x:c r="F257" t="str">
        <x:v>https://online.seranking.com/</x:v>
      </x:c>
    </x:row>
    <x:row r="258">
      <x:c r="A258" t="str">
        <x:v>automotive direct marketing</x:v>
      </x:c>
      <x:c r="B258" s="13" t="n">
        <x:v>10</x:v>
      </x:c>
      <x:c r="C258" s="13" t="n">
        <x:v>8</x:v>
      </x:c>
      <x:c r="D258" s="14" t="n">
        <x:v>4.24</x:v>
      </x:c>
      <x:c r="E258" t="str">
        <x:v>SE Ranking related: auto repair direct mail</x:v>
      </x:c>
      <x:c r="F258" t="str">
        <x:v>https://online.seranking.com/</x:v>
      </x:c>
    </x:row>
    <x:row r="259">
      <x:c r="A259" t="str">
        <x:v>automotive retention</x:v>
      </x:c>
      <x:c r="B259" s="13" t="n">
        <x:v>10</x:v>
      </x:c>
      <x:c r="C259" s="13" t="n">
        <x:v>7</x:v>
      </x:c>
      <x:c r="D259" s="14" t="n">
        <x:v>0</x:v>
      </x:c>
      <x:c r="E259" t="str">
        <x:v>SE Ranking related: auto repair customer retention</x:v>
      </x:c>
      <x:c r="F259" t="str">
        <x:v>https://online.seranking.com/</x:v>
      </x:c>
    </x:row>
    <x:row r="260">
      <x:c r="A260" t="str">
        <x:v>automotive service customer retention</x:v>
      </x:c>
      <x:c r="B260" s="13" t="n">
        <x:v>10</x:v>
      </x:c>
      <x:c r="C260" s="13" t="n">
        <x:v>4</x:v>
      </x:c>
      <x:c r="D260" s="14" t="n">
        <x:v>0</x:v>
      </x:c>
      <x:c r="E260" t="str">
        <x:v>SE Ranking related: auto repair customer retention</x:v>
      </x:c>
      <x:c r="F260" t="str">
        <x:v>https://online.seranking.com/</x:v>
      </x:c>
    </x:row>
    <x:row r="261">
      <x:c r="A261" t="str">
        <x:v>automotive service mailers</x:v>
      </x:c>
      <x:c r="B261" s="13" t="n">
        <x:v>10</x:v>
      </x:c>
      <x:c r="C261" s="13" t="n">
        <x:v>6</x:v>
      </x:c>
      <x:c r="D261" s="14" t="n">
        <x:v>0</x:v>
      </x:c>
      <x:c r="E261" t="str">
        <x:v>SE Ranking related: auto repair direct mail</x:v>
      </x:c>
      <x:c r="F261" t="str">
        <x:v>https://online.seranking.com/</x:v>
      </x:c>
    </x:row>
    <x:row r="262">
      <x:c r="A262" t="str">
        <x:v>automotive service marketing ideas</x:v>
      </x:c>
      <x:c r="B262" s="13" t="n">
        <x:v>10</x:v>
      </x:c>
      <x:c r="C262" s="13" t="n">
        <x:v>19</x:v>
      </x:c>
      <x:c r="D262" s="14" t="n">
        <x:v>0</x:v>
      </x:c>
      <x:c r="E262" t="str">
        <x:v>SE Ranking related: auto repair customer retention</x:v>
      </x:c>
      <x:c r="F262" t="str">
        <x:v>https://online.seranking.com/</x:v>
      </x:c>
    </x:row>
    <x:row r="263">
      <x:c r="A263" t="str">
        <x:v>automotive service postcards</x:v>
      </x:c>
      <x:c r="B263" s="13" t="n">
        <x:v>10</x:v>
      </x:c>
      <x:c r="C263" s="13" t="n">
        <x:v>9</x:v>
      </x:c>
      <x:c r="D263" s="14" t="n">
        <x:v>0</x:v>
      </x:c>
      <x:c r="E263" t="str">
        <x:v>SE Ranking related: auto repair direct mail</x:v>
      </x:c>
      <x:c r="F263" t="str">
        <x:v>https://online.seranking.com/</x:v>
      </x:c>
    </x:row>
    <x:row r="264">
      <x:c r="A264" t="str">
        <x:v>automotive service reminder postcards</x:v>
      </x:c>
      <x:c r="B264" s="13" t="n">
        <x:v>10</x:v>
      </x:c>
      <x:c r="C264" s="13" t="n">
        <x:v>5</x:v>
      </x:c>
      <x:c r="D264" s="14" t="n">
        <x:v>0</x:v>
      </x:c>
      <x:c r="E264" t="str">
        <x:v>SE Ranking related: auto repair direct mail</x:v>
      </x:c>
      <x:c r="F264" t="str">
        <x:v>https://online.seranking.com/</x:v>
      </x:c>
    </x:row>
    <x:row r="265">
      <x:c r="A265" t="str">
        <x:v>automotive service retention</x:v>
      </x:c>
      <x:c r="B265" s="13" t="n">
        <x:v>10</x:v>
      </x:c>
      <x:c r="C265" s="13" t="n">
        <x:v>7</x:v>
      </x:c>
      <x:c r="D265" s="14" t="n">
        <x:v>0</x:v>
      </x:c>
      <x:c r="E265" t="str">
        <x:v>SE Ranking related: auto repair customer retention</x:v>
      </x:c>
      <x:c r="F265" t="str">
        <x:v>https://online.seranking.com/</x:v>
      </x:c>
    </x:row>
    <x:row r="266">
      <x:c r="A266" t="str">
        <x:v>average labor rate auto repair</x:v>
      </x:c>
      <x:c r="B266" s="13" t="n">
        <x:v>10</x:v>
      </x:c>
      <x:c r="C266" s="13" t="n">
        <x:v>17</x:v>
      </x:c>
      <x:c r="D266" s="14" t="n">
        <x:v>0</x:v>
      </x:c>
      <x:c r="E266" t="str">
        <x:v>SE Ranking gap: elementdma.com</x:v>
      </x:c>
      <x:c r="F266" t="str">
        <x:v>https://elementdma.com/tools/labor-rate-calculator/</x:v>
      </x:c>
    </x:row>
    <x:row r="267">
      <x:c r="A267" t="str">
        <x:v>car service marketing ideas</x:v>
      </x:c>
      <x:c r="B267" s="13" t="n">
        <x:v>10</x:v>
      </x:c>
      <x:c r="C267" s="13" t="n">
        <x:v>19</x:v>
      </x:c>
      <x:c r="D267" s="14" t="n">
        <x:v>0</x:v>
      </x:c>
      <x:c r="E267" t="str">
        <x:v>SE Ranking related: auto repair customer retention</x:v>
      </x:c>
      <x:c r="F267" t="str">
        <x:v>https://online.seranking.com/</x:v>
      </x:c>
    </x:row>
    <x:row r="268">
      <x:c r="A268" t="str">
        <x:v>customer retention in automobile industry</x:v>
      </x:c>
      <x:c r="B268" s="13" t="n">
        <x:v>10</x:v>
      </x:c>
      <x:c r="C268" s="13" t="n">
        <x:v>8</x:v>
      </x:c>
      <x:c r="D268" s="14" t="n">
        <x:v>0</x:v>
      </x:c>
      <x:c r="E268" t="str">
        <x:v>SE Ranking related: auto repair customer retention</x:v>
      </x:c>
      <x:c r="F268" t="str">
        <x:v>https://online.seranking.com/</x:v>
      </x:c>
    </x:row>
    <x:row r="269">
      <x:c r="A269" t="str">
        <x:v>customer retention in automotive industry</x:v>
      </x:c>
      <x:c r="B269" s="13" t="n">
        <x:v>10</x:v>
      </x:c>
      <x:c r="C269" s="13" t="n">
        <x:v>12</x:v>
      </x:c>
      <x:c r="D269" s="14" t="n">
        <x:v>0</x:v>
      </x:c>
      <x:c r="E269" t="str">
        <x:v>SE Ranking related: auto repair customer retention</x:v>
      </x:c>
      <x:c r="F269" t="str">
        <x:v>https://online.seranking.com/</x:v>
      </x:c>
    </x:row>
    <x:row r="270">
      <x:c r="A270" t="str">
        <x:v>customer retention in the automotive industry</x:v>
      </x:c>
      <x:c r="B270" s="13" t="n">
        <x:v>10</x:v>
      </x:c>
      <x:c r="C270" s="13" t="n">
        <x:v>12</x:v>
      </x:c>
      <x:c r="D270" s="14" t="n">
        <x:v>0</x:v>
      </x:c>
      <x:c r="E270" t="str">
        <x:v>SE Ranking related: auto repair customer retention</x:v>
      </x:c>
      <x:c r="F270" t="str">
        <x:v>https://online.seranking.com/</x:v>
      </x:c>
    </x:row>
    <x:row r="271">
      <x:c r="A271" t="str">
        <x:v>dealer retention</x:v>
      </x:c>
      <x:c r="B271" s="13" t="n">
        <x:v>10</x:v>
      </x:c>
      <x:c r="C271" s="13" t="n">
        <x:v>7</x:v>
      </x:c>
      <x:c r="D271" s="14" t="n">
        <x:v>0</x:v>
      </x:c>
      <x:c r="E271" t="str">
        <x:v>SE Ranking related: auto repair customer retention</x:v>
      </x:c>
      <x:c r="F271" t="str">
        <x:v>https://online.seranking.com/</x:v>
      </x:c>
    </x:row>
    <x:row r="272">
      <x:c r="A272" t="str">
        <x:v>dealership service retention</x:v>
      </x:c>
      <x:c r="B272" s="13" t="n">
        <x:v>10</x:v>
      </x:c>
      <x:c r="C272" s="13" t="n">
        <x:v>8</x:v>
      </x:c>
      <x:c r="D272" s="14" t="n">
        <x:v>7.49</x:v>
      </x:c>
      <x:c r="E272" t="str">
        <x:v>SE Ranking related: auto repair customer retention</x:v>
      </x:c>
      <x:c r="F272" t="str">
        <x:v>https://online.seranking.com/</x:v>
      </x:c>
    </x:row>
    <x:row r="273">
      <x:c r="A273" t="str">
        <x:v>direct mail for auto repair shops</x:v>
      </x:c>
      <x:c r="B273" s="13" t="n">
        <x:v>10</x:v>
      </x:c>
      <x:c r="C273" s="13" t="n">
        <x:v>5</x:v>
      </x:c>
      <x:c r="D273" s="14" t="n">
        <x:v>0</x:v>
      </x:c>
      <x:c r="E273" t="str">
        <x:v>SE Ranking tracked keywords; SE Ranking gap: autoshopsolutions.com</x:v>
      </x:c>
      <x:c r="F273" t="str">
        <x:v>https://online.seranking.com/</x:v>
      </x:c>
    </x:row>
    <x:row r="274">
      <x:c r="A274" t="str">
        <x:v>european auto repair seo</x:v>
      </x:c>
      <x:c r="B274" s="13" t="n">
        <x:v>10</x:v>
      </x:c>
      <x:c r="C274" s="13" t="n">
        <x:v>4</x:v>
      </x:c>
      <x:c r="D274" s="14" t="n">
        <x:v>0</x:v>
      </x:c>
      <x:c r="E274" t="str">
        <x:v>SE Ranking gap: autoshopsolutions.com; SE Ranking gap: shopmarketingpros.com</x:v>
      </x:c>
      <x:c r="F274" t="str">
        <x:v>https://autoshopsolutions.com/rpm/seo/</x:v>
      </x:c>
    </x:row>
    <x:row r="275">
      <x:c r="A275" t="str">
        <x:v>facebook ads for auto repair</x:v>
      </x:c>
      <x:c r="B275" s="13" t="n">
        <x:v>10</x:v>
      </x:c>
      <x:c r="C275" s="13" t="str"/>
      <x:c r="D275" s="14" t="n">
        <x:v>0</x:v>
      </x:c>
      <x:c r="E275" t="str">
        <x:v>SE Ranking tracked keywords</x:v>
      </x:c>
      <x:c r="F275" t="str">
        <x:v>https://online.seranking.com/</x:v>
      </x:c>
    </x:row>
    <x:row r="276">
      <x:c r="A276" t="str">
        <x:v>free auto repair labor rate guide</x:v>
      </x:c>
      <x:c r="B276" s="13" t="n">
        <x:v>10</x:v>
      </x:c>
      <x:c r="C276" s="13" t="n">
        <x:v>28</x:v>
      </x:c>
      <x:c r="D276" s="14" t="n">
        <x:v>0</x:v>
      </x:c>
      <x:c r="E276" t="str">
        <x:v>SE Ranking gap: elementdma.com</x:v>
      </x:c>
      <x:c r="F276" t="str">
        <x:v>https://elementdma.com/tools/labor-rate-calculator/</x:v>
      </x:c>
    </x:row>
    <x:row r="277">
      <x:c r="A277" t="str">
        <x:v>how to get more customers in my auto repair shop</x:v>
      </x:c>
      <x:c r="B277" s="13" t="n">
        <x:v>10</x:v>
      </x:c>
      <x:c r="C277" s="13" t="n">
        <x:v>14</x:v>
      </x:c>
      <x:c r="D277" s="14" t="n">
        <x:v>0</x:v>
      </x:c>
      <x:c r="E277" t="str">
        <x:v>SE Ranking related: auto repair customer retention</x:v>
      </x:c>
      <x:c r="F277" t="str">
        <x:v>https://online.seranking.com/</x:v>
      </x:c>
    </x:row>
    <x:row r="278">
      <x:c r="A278" t="str">
        <x:v>how to grow an auto repair shop</x:v>
      </x:c>
      <x:c r="B278" s="13" t="n">
        <x:v>10</x:v>
      </x:c>
      <x:c r="C278" s="13" t="str"/>
      <x:c r="D278" s="14" t="n">
        <x:v>0</x:v>
      </x:c>
      <x:c r="E278" t="str">
        <x:v>SE Ranking tracked keywords</x:v>
      </x:c>
      <x:c r="F278" t="str">
        <x:v>https://online.seranking.com/</x:v>
      </x:c>
    </x:row>
    <x:row r="279">
      <x:c r="A279" t="str">
        <x:v>how to grow auto repair business</x:v>
      </x:c>
      <x:c r="B279" s="13" t="n">
        <x:v>10</x:v>
      </x:c>
      <x:c r="C279" s="13" t="n">
        <x:v>8</x:v>
      </x:c>
      <x:c r="D279" s="14" t="n">
        <x:v>0</x:v>
      </x:c>
      <x:c r="E279" t="str">
        <x:v>SE Ranking related: auto repair customer retention</x:v>
      </x:c>
      <x:c r="F279" t="str">
        <x:v>https://online.seranking.com/</x:v>
      </x:c>
    </x:row>
    <x:row r="280">
      <x:c r="A280" t="str">
        <x:v>how to increase auto repair business</x:v>
      </x:c>
      <x:c r="B280" s="13" t="n">
        <x:v>10</x:v>
      </x:c>
      <x:c r="C280" s="13" t="n">
        <x:v>5</x:v>
      </x:c>
      <x:c r="D280" s="14" t="n">
        <x:v>0</x:v>
      </x:c>
      <x:c r="E280" t="str">
        <x:v>SE Ranking related: auto repair customer retention</x:v>
      </x:c>
      <x:c r="F280" t="str">
        <x:v>https://online.seranking.com/</x:v>
      </x:c>
    </x:row>
    <x:row r="281">
      <x:c r="A281" t="str">
        <x:v>how to increase car count</x:v>
      </x:c>
      <x:c r="B281" s="13" t="n">
        <x:v>10</x:v>
      </x:c>
      <x:c r="C281" s="13" t="str"/>
      <x:c r="D281" s="14" t="n">
        <x:v>0</x:v>
      </x:c>
      <x:c r="E281" t="str">
        <x:v>SE Ranking tracked keywords</x:v>
      </x:c>
      <x:c r="F281" t="str">
        <x:v>https://online.seranking.com/</x:v>
      </x:c>
    </x:row>
    <x:row r="282">
      <x:c r="A282" t="str">
        <x:v>how to market an auto repair shop</x:v>
      </x:c>
      <x:c r="B282" s="13" t="n">
        <x:v>10</x:v>
      </x:c>
      <x:c r="C282" s="13" t="n">
        <x:v>14</x:v>
      </x:c>
      <x:c r="D282" s="14" t="n">
        <x:v>10.79</x:v>
      </x:c>
      <x:c r="E282" t="str">
        <x:v>SE Ranking tracked keywords; SE Ranking related: auto repair customer retention</x:v>
      </x:c>
      <x:c r="F282" t="str">
        <x:v>https://online.seranking.com/</x:v>
      </x:c>
    </x:row>
    <x:row r="283">
      <x:c r="A283" t="str">
        <x:v>increase car count</x:v>
      </x:c>
      <x:c r="B283" s="13" t="n">
        <x:v>10</x:v>
      </x:c>
      <x:c r="C283" s="13" t="str"/>
      <x:c r="D283" s="14" t="n">
        <x:v>0</x:v>
      </x:c>
      <x:c r="E283" t="str">
        <x:v>SE Ranking tracked keywords</x:v>
      </x:c>
      <x:c r="F283" t="str">
        <x:v>https://online.seranking.com/</x:v>
      </x:c>
    </x:row>
    <x:row r="284">
      <x:c r="A284" t="str">
        <x:v>marketing an auto repair shop</x:v>
      </x:c>
      <x:c r="B284" s="13" t="n">
        <x:v>10</x:v>
      </x:c>
      <x:c r="C284" s="13" t="n">
        <x:v>24</x:v>
      </x:c>
      <x:c r="D284" s="14" t="n">
        <x:v>8.57</x:v>
      </x:c>
      <x:c r="E284" t="str">
        <x:v>SE Ranking related: auto repair customer retention; SE Ranking gap: autoshopsolutions.com; SE Ranking gap: shopmarketingpros.com; SE Ranking gap: elementdma.com; SE Ranking gap: autoshopdigital.com</x:v>
      </x:c>
      <x:c r="F284" t="str">
        <x:v>https://online.seranking.com/</x:v>
      </x:c>
    </x:row>
    <x:row r="285">
      <x:c r="A285" t="str">
        <x:v>seo for european auto repair</x:v>
      </x:c>
      <x:c r="B285" s="13" t="n">
        <x:v>10</x:v>
      </x:c>
      <x:c r="C285" s="13" t="n">
        <x:v>4</x:v>
      </x:c>
      <x:c r="D285" s="14" t="n">
        <x:v>0</x:v>
      </x:c>
      <x:c r="E285" t="str">
        <x:v>SE Ranking gap: shopmarketingpros.com; SE Ranking gap: autoshopdigital.com</x:v>
      </x:c>
      <x:c r="F285" t="str">
        <x:v>https://shopmarketingpros.com/seo-for-auto-repair-shops/#:~:text=One%20of%20the%20most%20powerful,search%20engines%20understand%20your%20content.</x:v>
      </x:c>
    </x:row>
    <x:row r="286">
      <x:c r="A286" t="str">
        <x:v>seo for german auto repair</x:v>
      </x:c>
      <x:c r="B286" s="13" t="n">
        <x:v>10</x:v>
      </x:c>
      <x:c r="C286" s="13" t="n">
        <x:v>5</x:v>
      </x:c>
      <x:c r="D286" s="14" t="n">
        <x:v>0</x:v>
      </x:c>
      <x:c r="E286" t="str">
        <x:v>SE Ranking gap: autoshopsolutions.com; SE Ranking gap: shopmarketingpros.com</x:v>
      </x:c>
      <x:c r="F286" t="str">
        <x:v>https://autoshopsolutions.com/how-blogs-help-your-auto-repair-shop-marketing/</x:v>
      </x:c>
    </x:row>
    <x:row r="287">
      <x:c r="A287" t="str">
        <x:v>seo services for auto repair</x:v>
      </x:c>
      <x:c r="B287" s="13" t="n">
        <x:v>10</x:v>
      </x:c>
      <x:c r="C287" s="13" t="n">
        <x:v>12</x:v>
      </x:c>
      <x:c r="D287" s="14" t="n">
        <x:v>0</x:v>
      </x:c>
      <x:c r="E287" t="str">
        <x:v>SE Ranking gap: autoshopsolutions.com; SE Ranking gap: shopmarketingpros.com; SE Ranking gap: autoshopdigital.com</x:v>
      </x:c>
      <x:c r="F287" t="str">
        <x:v>https://autoshopsolutions.com/does-your-auto-shop-need-seo-services/</x:v>
      </x:c>
    </x:row>
    <x:row r="288">
      <x:c r="A288" t="str">
        <x:v>service retention automotive</x:v>
      </x:c>
      <x:c r="B288" s="13" t="n">
        <x:v>10</x:v>
      </x:c>
      <x:c r="C288" s="13" t="n">
        <x:v>7</x:v>
      </x:c>
      <x:c r="D288" s="14" t="n">
        <x:v>5.74</x:v>
      </x:c>
      <x:c r="E288" t="str">
        <x:v>SE Ranking related: auto repair customer retention</x:v>
      </x:c>
      <x:c r="F288" t="str">
        <x:v>https://online.seranking.com/</x:v>
      </x:c>
    </x:row>
    <x:row r="289">
      <x:c r="A289" t="str">
        <x:v>social media marketing for auto repair shops</x:v>
      </x:c>
      <x:c r="B289" s="13" t="n">
        <x:v>10</x:v>
      </x:c>
      <x:c r="C289" s="13" t="str"/>
      <x:c r="D289" s="14" t="n">
        <x:v>0</x:v>
      </x:c>
      <x:c r="E289" t="str">
        <x:v>SE Ranking tracked keywords</x:v>
      </x:c>
      <x:c r="F289" t="str">
        <x:v>https://online.seranking.com/</x:v>
      </x:c>
    </x:row>
    <x:row r="290">
      <x:c r="A290" t="str">
        <x:v>standard labor rates for auto repairs</x:v>
      </x:c>
      <x:c r="B290" s="13" t="n">
        <x:v>10</x:v>
      </x:c>
      <x:c r="C290" s="13" t="n">
        <x:v>20</x:v>
      </x:c>
      <x:c r="D290" s="14" t="n">
        <x:v>0</x:v>
      </x:c>
      <x:c r="E290" t="str">
        <x:v>SE Ranking gap: elementdma.com</x:v>
      </x:c>
      <x:c r="F290" t="str">
        <x:v>https://elementdma.com/tools/labor-rate-calculator/</x:v>
      </x:c>
    </x:row>
    <x:row r="291">
      <x:c r="A291" t="str">
        <x:v>what is the best marketing for auto repair shop</x:v>
      </x:c>
      <x:c r="B291" s="13" t="n">
        <x:v>10</x:v>
      </x:c>
      <x:c r="C291" s="13" t="n">
        <x:v>19</x:v>
      </x:c>
      <x:c r="D291" s="14" t="n">
        <x:v>0</x:v>
      </x:c>
      <x:c r="E291" t="str">
        <x:v>SE Ranking related: auto repair customer retention</x:v>
      </x:c>
      <x:c r="F291" t="str">
        <x:v>https://online.seranking.com/</x:v>
      </x:c>
    </x:row>
    <x:row r="292">
      <x:c r="A292" t="str">
        <x:v>yelp advertiser auto repair</x:v>
      </x:c>
      <x:c r="B292" s="13" t="n">
        <x:v>10</x:v>
      </x:c>
      <x:c r="C292" s="13" t="n">
        <x:v>7</x:v>
      </x:c>
      <x:c r="D292" s="14" t="n">
        <x:v>0</x:v>
      </x:c>
      <x:c r="E292" t="str">
        <x:v>SE Ranking gap: autoshopdigital.com</x:v>
      </x:c>
      <x:c r="F292" t="str">
        <x:v>https://www.autoshopdigital.com/the-dangers-of-yelp-for-your-auto-shop-the-better-alternative</x:v>
      </x:c>
    </x:row>
    <x:row r="293">
      <x:c r="A293" t="str">
        <x:v>advertising for auto shops</x:v>
      </x:c>
      <x:c r="B293" s="13" t="n">
        <x:v>0</x:v>
      </x:c>
      <x:c r="C293" s="13" t="str"/>
      <x:c r="D293" s="14" t="n">
        <x:v>0</x:v>
      </x:c>
      <x:c r="E293" t="str">
        <x:v>SE Ranking tracked keywords</x:v>
      </x:c>
      <x:c r="F293" t="str">
        <x:v>https://online.seranking.com/</x:v>
      </x:c>
    </x:row>
    <x:row r="294">
      <x:c r="A294" t="str">
        <x:v>auto mechanic seo</x:v>
      </x:c>
      <x:c r="B294" s="13" t="n">
        <x:v>0</x:v>
      </x:c>
      <x:c r="C294" s="13" t="str"/>
      <x:c r="D294" s="14" t="n">
        <x:v>0</x:v>
      </x:c>
      <x:c r="E294" t="str">
        <x:v>SE Ranking tracked keywords</x:v>
      </x:c>
      <x:c r="F294" t="str">
        <x:v>https://online.seranking.com/</x:v>
      </x:c>
    </x:row>
    <x:row r="295">
      <x:c r="A295" t="str">
        <x:v>auto repair branding</x:v>
      </x:c>
      <x:c r="B295" s="13" t="n">
        <x:v>0</x:v>
      </x:c>
      <x:c r="C295" s="13" t="str"/>
      <x:c r="D295" s="14" t="n">
        <x:v>0</x:v>
      </x:c>
      <x:c r="E295" t="str">
        <x:v>SE Ranking tracked keywords</x:v>
      </x:c>
      <x:c r="F295" t="str">
        <x:v>https://online.seranking.com/</x:v>
      </x:c>
    </x:row>
    <x:row r="296">
      <x:c r="A296" t="str">
        <x:v>auto repair facebook marketing</x:v>
      </x:c>
      <x:c r="B296" s="13" t="n">
        <x:v>0</x:v>
      </x:c>
      <x:c r="C296" s="13" t="str"/>
      <x:c r="D296" s="14" t="n">
        <x:v>0</x:v>
      </x:c>
      <x:c r="E296" t="str">
        <x:v>SE Ranking tracked keywords</x:v>
      </x:c>
      <x:c r="F296" t="str">
        <x:v>https://online.seranking.com/</x:v>
      </x:c>
    </x:row>
    <x:row r="297">
      <x:c r="A297" t="str">
        <x:v>auto repair Google Ads</x:v>
      </x:c>
      <x:c r="B297" s="13" t="n">
        <x:v>0</x:v>
      </x:c>
      <x:c r="C297" s="13" t="str"/>
      <x:c r="D297" s="14" t="n">
        <x:v>0</x:v>
      </x:c>
      <x:c r="E297" t="str">
        <x:v>SE Ranking tracked keywords</x:v>
      </x:c>
      <x:c r="F297" t="str">
        <x:v>https://online.seranking.com/</x:v>
      </x:c>
    </x:row>
    <x:row r="298">
      <x:c r="A298" t="str">
        <x:v>auto repair marketing audit</x:v>
      </x:c>
      <x:c r="B298" s="13" t="n">
        <x:v>0</x:v>
      </x:c>
      <x:c r="C298" s="13" t="str"/>
      <x:c r="D298" s="14" t="n">
        <x:v>0</x:v>
      </x:c>
      <x:c r="E298" t="str">
        <x:v>SE Ranking tracked keywords</x:v>
      </x:c>
      <x:c r="F298" t="str">
        <x:v>https://online.seranking.com/</x:v>
      </x:c>
    </x:row>
    <x:row r="299">
      <x:c r="A299" t="str">
        <x:v>auto repair marketing company</x:v>
      </x:c>
      <x:c r="B299" s="13" t="n">
        <x:v>0</x:v>
      </x:c>
      <x:c r="C299" s="13" t="str"/>
      <x:c r="D299" s="14" t="n">
        <x:v>0</x:v>
      </x:c>
      <x:c r="E299" t="str">
        <x:v>SE Ranking tracked keywords</x:v>
      </x:c>
      <x:c r="F299" t="str">
        <x:v>https://online.seranking.com/</x:v>
      </x:c>
    </x:row>
    <x:row r="300">
      <x:c r="A300" t="str">
        <x:v>auto repair marketing consultant</x:v>
      </x:c>
      <x:c r="B300" s="13" t="n">
        <x:v>0</x:v>
      </x:c>
      <x:c r="C300" s="13" t="str"/>
      <x:c r="D300" s="14" t="n">
        <x:v>0</x:v>
      </x:c>
      <x:c r="E300" t="str">
        <x:v>SE Ranking tracked keywords</x:v>
      </x:c>
      <x:c r="F300" t="str">
        <x:v>https://online.seranking.com/</x:v>
      </x:c>
    </x:row>
    <x:row r="301">
      <x:c r="A301" t="str">
        <x:v>auto repair marketing director</x:v>
      </x:c>
      <x:c r="B301" s="13" t="n">
        <x:v>0</x:v>
      </x:c>
      <x:c r="C301" s="13" t="str"/>
      <x:c r="D301" s="14" t="n">
        <x:v>0</x:v>
      </x:c>
      <x:c r="E301" t="str">
        <x:v>SE Ranking tracked keywords</x:v>
      </x:c>
      <x:c r="F301" t="str">
        <x:v>https://online.seranking.com/</x:v>
      </x:c>
    </x:row>
    <x:row r="302">
      <x:c r="A302" t="str">
        <x:v>auto repair marketing services</x:v>
      </x:c>
      <x:c r="B302" s="13" t="n">
        <x:v>0</x:v>
      </x:c>
      <x:c r="C302" s="13" t="str"/>
      <x:c r="D302" s="14" t="n">
        <x:v>0</x:v>
      </x:c>
      <x:c r="E302" t="str">
        <x:v>SE Ranking tracked keywords</x:v>
      </x:c>
      <x:c r="F302" t="str">
        <x:v>https://online.seranking.com/</x:v>
      </x:c>
    </x:row>
    <x:row r="303">
      <x:c r="A303" t="str">
        <x:v>auto repair postcard marketing</x:v>
      </x:c>
      <x:c r="B303" s="13" t="n">
        <x:v>0</x:v>
      </x:c>
      <x:c r="C303" s="13" t="str"/>
      <x:c r="D303" s="14" t="n">
        <x:v>0</x:v>
      </x:c>
      <x:c r="E303" t="str">
        <x:v>SE Ranking tracked keywords</x:v>
      </x:c>
      <x:c r="F303" t="str">
        <x:v>https://online.seranking.com/</x:v>
      </x:c>
    </x:row>
    <x:row r="304">
      <x:c r="A304" t="str">
        <x:v>auto repair shop branding</x:v>
      </x:c>
      <x:c r="B304" s="13" t="n">
        <x:v>0</x:v>
      </x:c>
      <x:c r="C304" s="13" t="str"/>
      <x:c r="D304" s="14" t="n">
        <x:v>0</x:v>
      </x:c>
      <x:c r="E304" t="str">
        <x:v>SE Ranking tracked keywords</x:v>
      </x:c>
      <x:c r="F304" t="str">
        <x:v>https://online.seranking.com/</x:v>
      </x:c>
    </x:row>
    <x:row r="305">
      <x:c r="A305" t="str">
        <x:v>auto repair shop business marketing</x:v>
      </x:c>
      <x:c r="B305" s="13" t="n">
        <x:v>0</x:v>
      </x:c>
      <x:c r="C305" s="13" t="str"/>
      <x:c r="D305" s="14" t="n">
        <x:v>0</x:v>
      </x:c>
      <x:c r="E305" t="str">
        <x:v>SE Ranking tracked keywords</x:v>
      </x:c>
      <x:c r="F305" t="str">
        <x:v>https://online.seranking.com/</x:v>
      </x:c>
    </x:row>
    <x:row r="306">
      <x:c r="A306" t="str">
        <x:v>auto repair shop facebook marketing</x:v>
      </x:c>
      <x:c r="B306" s="13" t="n">
        <x:v>0</x:v>
      </x:c>
      <x:c r="C306" s="13" t="str"/>
      <x:c r="D306" s="14" t="n">
        <x:v>0</x:v>
      </x:c>
      <x:c r="E306" t="str">
        <x:v>SE Ranking tracked keywords</x:v>
      </x:c>
      <x:c r="F306" t="str">
        <x:v>https://online.seranking.com/</x:v>
      </x:c>
    </x:row>
    <x:row r="307">
      <x:c r="A307" t="str">
        <x:v>auto repair shop lead generation</x:v>
      </x:c>
      <x:c r="B307" s="13" t="n">
        <x:v>0</x:v>
      </x:c>
      <x:c r="C307" s="13" t="str"/>
      <x:c r="D307" s="14" t="n">
        <x:v>0</x:v>
      </x:c>
      <x:c r="E307" t="str">
        <x:v>SE Ranking tracked keywords</x:v>
      </x:c>
      <x:c r="F307" t="str">
        <x:v>https://online.seranking.com/</x:v>
      </x:c>
    </x:row>
    <x:row r="308">
      <x:c r="A308" t="str">
        <x:v>auto repair shop marketing agency</x:v>
      </x:c>
      <x:c r="B308" s="13" t="n">
        <x:v>0</x:v>
      </x:c>
      <x:c r="C308" s="13" t="str"/>
      <x:c r="D308" s="14" t="n">
        <x:v>0</x:v>
      </x:c>
      <x:c r="E308" t="str">
        <x:v>SE Ranking tracked keywords</x:v>
      </x:c>
      <x:c r="F308" t="str">
        <x:v>https://online.seranking.com/</x:v>
      </x:c>
    </x:row>
    <x:row r="309">
      <x:c r="A309" t="str">
        <x:v>auto repair shop marketing company</x:v>
      </x:c>
      <x:c r="B309" s="13" t="n">
        <x:v>0</x:v>
      </x:c>
      <x:c r="C309" s="13" t="str"/>
      <x:c r="D309" s="14" t="n">
        <x:v>0</x:v>
      </x:c>
      <x:c r="E309" t="str">
        <x:v>SE Ranking tracked keywords</x:v>
      </x:c>
      <x:c r="F309" t="str">
        <x:v>https://online.seranking.com/</x:v>
      </x:c>
    </x:row>
    <x:row r="310">
      <x:c r="A310" t="str">
        <x:v>auto repair shop marketing services</x:v>
      </x:c>
      <x:c r="B310" s="13" t="n">
        <x:v>0</x:v>
      </x:c>
      <x:c r="C310" s="13" t="str"/>
      <x:c r="D310" s="14" t="n">
        <x:v>0</x:v>
      </x:c>
      <x:c r="E310" t="str">
        <x:v>SE Ranking tracked keywords</x:v>
      </x:c>
      <x:c r="F310" t="str">
        <x:v>https://online.seranking.com/</x:v>
      </x:c>
    </x:row>
    <x:row r="311">
      <x:c r="A311" t="str">
        <x:v>auto repair shop postcard marketing</x:v>
      </x:c>
      <x:c r="B311" s="13" t="n">
        <x:v>0</x:v>
      </x:c>
      <x:c r="C311" s="13" t="str"/>
      <x:c r="D311" s="14" t="n">
        <x:v>0</x:v>
      </x:c>
      <x:c r="E311" t="str">
        <x:v>SE Ranking tracked keywords</x:v>
      </x:c>
      <x:c r="F311" t="str">
        <x:v>https://online.seranking.com/</x:v>
      </x:c>
    </x:row>
    <x:row r="312">
      <x:c r="A312" t="str">
        <x:v>auto repair shop seo services</x:v>
      </x:c>
      <x:c r="B312" s="13" t="n">
        <x:v>0</x:v>
      </x:c>
      <x:c r="C312" s="13" t="str"/>
      <x:c r="D312" s="14" t="n">
        <x:v>0</x:v>
      </x:c>
      <x:c r="E312" t="str">
        <x:v>SE Ranking tracked keywords</x:v>
      </x:c>
      <x:c r="F312" t="str">
        <x:v>https://online.seranking.com/</x:v>
      </x:c>
    </x:row>
    <x:row r="313">
      <x:c r="A313" t="str">
        <x:v>auto repair shop social media</x:v>
      </x:c>
      <x:c r="B313" s="13" t="n">
        <x:v>0</x:v>
      </x:c>
      <x:c r="C313" s="13" t="str"/>
      <x:c r="D313" s="14" t="n">
        <x:v>0</x:v>
      </x:c>
      <x:c r="E313" t="str">
        <x:v>SE Ranking tracked keywords</x:v>
      </x:c>
      <x:c r="F313" t="str">
        <x:v>https://online.seranking.com/</x:v>
      </x:c>
    </x:row>
    <x:row r="314">
      <x:c r="A314" t="str">
        <x:v>auto shop branding</x:v>
      </x:c>
      <x:c r="B314" s="13" t="n">
        <x:v>0</x:v>
      </x:c>
      <x:c r="C314" s="13" t="str"/>
      <x:c r="D314" s="14" t="n">
        <x:v>0</x:v>
      </x:c>
      <x:c r="E314" t="str">
        <x:v>SE Ranking tracked keywords</x:v>
      </x:c>
      <x:c r="F314" t="str">
        <x:v>https://online.seranking.com/</x:v>
      </x:c>
    </x:row>
    <x:row r="315">
      <x:c r="A315" t="str">
        <x:v>auto shop email marketing</x:v>
      </x:c>
      <x:c r="B315" s="13" t="n">
        <x:v>0</x:v>
      </x:c>
      <x:c r="C315" s="13" t="str"/>
      <x:c r="D315" s="14" t="n">
        <x:v>0</x:v>
      </x:c>
      <x:c r="E315" t="str">
        <x:v>SE Ranking tracked keywords</x:v>
      </x:c>
      <x:c r="F315" t="str">
        <x:v>https://online.seranking.com/</x:v>
      </x:c>
    </x:row>
    <x:row r="316">
      <x:c r="A316" t="str">
        <x:v>auto shop google ads</x:v>
      </x:c>
      <x:c r="B316" s="13" t="n">
        <x:v>0</x:v>
      </x:c>
      <x:c r="C316" s="13" t="str"/>
      <x:c r="D316" s="14" t="n">
        <x:v>0</x:v>
      </x:c>
      <x:c r="E316" t="str">
        <x:v>SE Ranking tracked keywords</x:v>
      </x:c>
      <x:c r="F316" t="str">
        <x:v>https://online.seranking.com/</x:v>
      </x:c>
    </x:row>
    <x:row r="317">
      <x:c r="A317" t="str">
        <x:v>auto shop lead generation</x:v>
      </x:c>
      <x:c r="B317" s="13" t="n">
        <x:v>0</x:v>
      </x:c>
      <x:c r="C317" s="13" t="str"/>
      <x:c r="D317" s="14" t="n">
        <x:v>0</x:v>
      </x:c>
      <x:c r="E317" t="str">
        <x:v>SE Ranking tracked keywords</x:v>
      </x:c>
      <x:c r="F317" t="str">
        <x:v>https://online.seranking.com/</x:v>
      </x:c>
    </x:row>
    <x:row r="318">
      <x:c r="A318" t="str">
        <x:v>auto shop marketing agency</x:v>
      </x:c>
      <x:c r="B318" s="13" t="n">
        <x:v>0</x:v>
      </x:c>
      <x:c r="C318" s="13" t="str"/>
      <x:c r="D318" s="14" t="n">
        <x:v>0</x:v>
      </x:c>
      <x:c r="E318" t="str">
        <x:v>SE Ranking tracked keywords</x:v>
      </x:c>
      <x:c r="F318" t="str">
        <x:v>https://online.seranking.com/</x:v>
      </x:c>
    </x:row>
    <x:row r="319">
      <x:c r="A319" t="str">
        <x:v>auto shop marketing consultant</x:v>
      </x:c>
      <x:c r="B319" s="13" t="n">
        <x:v>0</x:v>
      </x:c>
      <x:c r="C319" s="13" t="str"/>
      <x:c r="D319" s="14" t="n">
        <x:v>0</x:v>
      </x:c>
      <x:c r="E319" t="str">
        <x:v>SE Ranking tracked keywords</x:v>
      </x:c>
      <x:c r="F319" t="str">
        <x:v>https://online.seranking.com/</x:v>
      </x:c>
    </x:row>
    <x:row r="320">
      <x:c r="A320" t="str">
        <x:v>auto shop marketing plan</x:v>
      </x:c>
      <x:c r="B320" s="13" t="n">
        <x:v>0</x:v>
      </x:c>
      <x:c r="C320" s="13" t="str"/>
      <x:c r="D320" s="14" t="n">
        <x:v>0</x:v>
      </x:c>
      <x:c r="E320" t="str">
        <x:v>SE Ranking tracked keywords</x:v>
      </x:c>
      <x:c r="F320" t="str">
        <x:v>https://online.seranking.com/</x:v>
      </x:c>
    </x:row>
    <x:row r="321">
      <x:c r="A321" t="str">
        <x:v>auto shop marketing services</x:v>
      </x:c>
      <x:c r="B321" s="13" t="n">
        <x:v>0</x:v>
      </x:c>
      <x:c r="C321" s="13" t="str"/>
      <x:c r="D321" s="14" t="n">
        <x:v>0</x:v>
      </x:c>
      <x:c r="E321" t="str">
        <x:v>SE Ranking tracked keywords</x:v>
      </x:c>
      <x:c r="F321" t="str">
        <x:v>https://online.seranking.com/</x:v>
      </x:c>
    </x:row>
    <x:row r="322">
      <x:c r="A322" t="str">
        <x:v>auto shop marketing strategies</x:v>
      </x:c>
      <x:c r="B322" s="13" t="n">
        <x:v>0</x:v>
      </x:c>
      <x:c r="C322" s="13" t="str"/>
      <x:c r="D322" s="14" t="n">
        <x:v>0</x:v>
      </x:c>
      <x:c r="E322" t="str">
        <x:v>SE Ranking tracked keywords</x:v>
      </x:c>
      <x:c r="F322" t="str">
        <x:v>https://online.seranking.com/</x:v>
      </x:c>
    </x:row>
    <x:row r="323">
      <x:c r="A323" t="str">
        <x:v>auto shop seo services</x:v>
      </x:c>
      <x:c r="B323" s="13" t="n">
        <x:v>0</x:v>
      </x:c>
      <x:c r="C323" s="13" t="str"/>
      <x:c r="D323" s="14" t="n">
        <x:v>0</x:v>
      </x:c>
      <x:c r="E323" t="str">
        <x:v>SE Ranking tracked keywords</x:v>
      </x:c>
      <x:c r="F323" t="str">
        <x:v>https://online.seranking.com/</x:v>
      </x:c>
    </x:row>
    <x:row r="324">
      <x:c r="A324" t="str">
        <x:v>auto shop social media marketing</x:v>
      </x:c>
      <x:c r="B324" s="13" t="n">
        <x:v>0</x:v>
      </x:c>
      <x:c r="C324" s="13" t="str"/>
      <x:c r="D324" s="14" t="n">
        <x:v>0</x:v>
      </x:c>
      <x:c r="E324" t="str">
        <x:v>SE Ranking tracked keywords</x:v>
      </x:c>
      <x:c r="F324" t="str">
        <x:v>https://online.seranking.com/</x:v>
      </x:c>
    </x:row>
    <x:row r="325">
      <x:c r="A325" t="str">
        <x:v>automotive repair shop marketing agency</x:v>
      </x:c>
      <x:c r="B325" s="13" t="n">
        <x:v>0</x:v>
      </x:c>
      <x:c r="C325" s="13" t="str"/>
      <x:c r="D325" s="14" t="n">
        <x:v>0</x:v>
      </x:c>
      <x:c r="E325" t="str">
        <x:v>SE Ranking tracked keywords</x:v>
      </x:c>
      <x:c r="F325" t="str">
        <x:v>https://online.seranking.com/</x:v>
      </x:c>
    </x:row>
    <x:row r="326">
      <x:c r="A326" t="str">
        <x:v>best auto repair marketing agency</x:v>
      </x:c>
      <x:c r="B326" s="13" t="n">
        <x:v>0</x:v>
      </x:c>
      <x:c r="C326" s="13" t="str"/>
      <x:c r="D326" s="14" t="n">
        <x:v>0</x:v>
      </x:c>
      <x:c r="E326" t="str">
        <x:v>SE Ranking tracked keywords</x:v>
      </x:c>
      <x:c r="F326" t="str">
        <x:v>https://online.seranking.com/</x:v>
      </x:c>
    </x:row>
    <x:row r="327">
      <x:c r="A327" t="str">
        <x:v>car repair marketing agency</x:v>
      </x:c>
      <x:c r="B327" s="13" t="n">
        <x:v>0</x:v>
      </x:c>
      <x:c r="C327" s="13" t="str"/>
      <x:c r="D327" s="14" t="n">
        <x:v>0</x:v>
      </x:c>
      <x:c r="E327" t="str">
        <x:v>SE Ranking tracked keywords</x:v>
      </x:c>
      <x:c r="F327" t="str">
        <x:v>https://online.seranking.com/</x:v>
      </x:c>
    </x:row>
    <x:row r="328">
      <x:c r="A328" t="str">
        <x:v>done for you auto repair marketing</x:v>
      </x:c>
      <x:c r="B328" s="13" t="n">
        <x:v>0</x:v>
      </x:c>
      <x:c r="C328" s="13" t="str"/>
      <x:c r="D328" s="14" t="n">
        <x:v>0</x:v>
      </x:c>
      <x:c r="E328" t="str">
        <x:v>SE Ranking tracked keywords</x:v>
      </x:c>
      <x:c r="F328" t="str">
        <x:v>https://online.seranking.com/</x:v>
      </x:c>
    </x:row>
    <x:row r="329">
      <x:c r="A329" t="str">
        <x:v>email marketing for auto repair shops</x:v>
      </x:c>
      <x:c r="B329" s="13" t="n">
        <x:v>0</x:v>
      </x:c>
      <x:c r="C329" s="13" t="str"/>
      <x:c r="D329" s="14" t="n">
        <x:v>0</x:v>
      </x:c>
      <x:c r="E329" t="str">
        <x:v>SE Ranking tracked keywords</x:v>
      </x:c>
      <x:c r="F329" t="str">
        <x:v>https://online.seranking.com/</x:v>
      </x:c>
    </x:row>
    <x:row r="330">
      <x:c r="A330" t="str">
        <x:v>fractional CMO for auto repair shop</x:v>
      </x:c>
      <x:c r="B330" s="13" t="n">
        <x:v>0</x:v>
      </x:c>
      <x:c r="C330" s="13" t="str"/>
      <x:c r="D330" s="14" t="n">
        <x:v>0</x:v>
      </x:c>
      <x:c r="E330" t="str">
        <x:v>SE Ranking tracked keywords</x:v>
      </x:c>
      <x:c r="F330" t="str">
        <x:v>https://online.seranking.com/</x:v>
      </x:c>
    </x:row>
    <x:row r="331">
      <x:c r="A331" t="str">
        <x:v>fractional marketing director auto repair</x:v>
      </x:c>
      <x:c r="B331" s="13" t="n">
        <x:v>0</x:v>
      </x:c>
      <x:c r="C331" s="13" t="str"/>
      <x:c r="D331" s="14" t="n">
        <x:v>0</x:v>
      </x:c>
      <x:c r="E331" t="str">
        <x:v>SE Ranking tracked keywords</x:v>
      </x:c>
      <x:c r="F331" t="str">
        <x:v>https://online.seranking.com/</x:v>
      </x:c>
    </x:row>
    <x:row r="332">
      <x:c r="A332" t="str">
        <x:v>google ads for auto repair</x:v>
      </x:c>
      <x:c r="B332" s="13" t="n">
        <x:v>0</x:v>
      </x:c>
      <x:c r="C332" s="13" t="str"/>
      <x:c r="D332" s="14" t="n">
        <x:v>0</x:v>
      </x:c>
      <x:c r="E332" t="str">
        <x:v>SE Ranking tracked keywords</x:v>
      </x:c>
      <x:c r="F332" t="str">
        <x:v>https://online.seranking.com/</x:v>
      </x:c>
    </x:row>
    <x:row r="333">
      <x:c r="A333" t="str">
        <x:v>how to advertise auto repair shop</x:v>
      </x:c>
      <x:c r="B333" s="13" t="n">
        <x:v>0</x:v>
      </x:c>
      <x:c r="C333" s="13" t="str"/>
      <x:c r="D333" s="14" t="n">
        <x:v>0</x:v>
      </x:c>
      <x:c r="E333" t="str">
        <x:v>SE Ranking tracked keywords</x:v>
      </x:c>
      <x:c r="F333" t="str">
        <x:v>https://online.seranking.com/</x:v>
      </x:c>
    </x:row>
    <x:row r="334">
      <x:c r="A334" t="str">
        <x:v>how to get more auto repair customers</x:v>
      </x:c>
      <x:c r="B334" s="13" t="n">
        <x:v>0</x:v>
      </x:c>
      <x:c r="C334" s="13" t="str"/>
      <x:c r="D334" s="14" t="n">
        <x:v>0</x:v>
      </x:c>
      <x:c r="E334" t="str">
        <x:v>SE Ranking tracked keywords</x:v>
      </x:c>
      <x:c r="F334" t="str">
        <x:v>https://online.seranking.com/</x:v>
      </x:c>
    </x:row>
    <x:row r="335">
      <x:c r="A335" t="str">
        <x:v>how to get more customers for auto repair shop</x:v>
      </x:c>
      <x:c r="B335" s="13" t="n">
        <x:v>0</x:v>
      </x:c>
      <x:c r="C335" s="13" t="str"/>
      <x:c r="D335" s="14" t="n">
        <x:v>0</x:v>
      </x:c>
      <x:c r="E335" t="str">
        <x:v>SE Ranking tracked keywords</x:v>
      </x:c>
      <x:c r="F335" t="str">
        <x:v>https://online.seranking.com/</x:v>
      </x:c>
    </x:row>
    <x:row r="336">
      <x:c r="A336" t="str">
        <x:v>how to grow an auto repair business</x:v>
      </x:c>
      <x:c r="B336" s="13" t="n">
        <x:v>0</x:v>
      </x:c>
      <x:c r="C336" s="13" t="str"/>
      <x:c r="D336" s="14" t="n">
        <x:v>0</x:v>
      </x:c>
      <x:c r="E336" t="str">
        <x:v>SE Ranking tracked keywords</x:v>
      </x:c>
      <x:c r="F336" t="str">
        <x:v>https://online.seranking.com/</x:v>
      </x:c>
    </x:row>
    <x:row r="337">
      <x:c r="A337" t="str">
        <x:v>increase car count auto repair</x:v>
      </x:c>
      <x:c r="B337" s="13" t="n">
        <x:v>0</x:v>
      </x:c>
      <x:c r="C337" s="13" t="str"/>
      <x:c r="D337" s="14" t="n">
        <x:v>0</x:v>
      </x:c>
      <x:c r="E337" t="str">
        <x:v>SE Ranking tracked keywords</x:v>
      </x:c>
      <x:c r="F337" t="str">
        <x:v>https://online.seranking.com/</x:v>
      </x:c>
    </x:row>
    <x:row r="338">
      <x:c r="A338" t="str">
        <x:v>marketing agency for auto repair shops</x:v>
      </x:c>
      <x:c r="B338" s="13" t="n">
        <x:v>0</x:v>
      </x:c>
      <x:c r="C338" s="13" t="str"/>
      <x:c r="D338" s="14" t="n">
        <x:v>0</x:v>
      </x:c>
      <x:c r="E338" t="str">
        <x:v>SE Ranking tracked keywords</x:v>
      </x:c>
      <x:c r="F338" t="str">
        <x:v>https://online.seranking.com/</x:v>
      </x:c>
    </x:row>
    <x:row r="339">
      <x:c r="A339" t="str">
        <x:v>marketing an auto repair business</x:v>
      </x:c>
      <x:c r="B339" s="13" t="n">
        <x:v>0</x:v>
      </x:c>
      <x:c r="C339" s="13" t="str"/>
      <x:c r="D339" s="14" t="n">
        <x:v>0</x:v>
      </x:c>
      <x:c r="E339" t="str">
        <x:v>SE Ranking tracked keywords</x:v>
      </x:c>
      <x:c r="F339" t="str">
        <x:v>https://online.seranking.com/</x:v>
      </x:c>
    </x:row>
    <x:row r="340">
      <x:c r="A340" t="str">
        <x:v>marketing audit for auto repair shop</x:v>
      </x:c>
      <x:c r="B340" s="13" t="n">
        <x:v>0</x:v>
      </x:c>
      <x:c r="C340" s="13" t="str"/>
      <x:c r="D340" s="14" t="n">
        <x:v>0</x:v>
      </x:c>
      <x:c r="E340" t="str">
        <x:v>SE Ranking tracked keywords</x:v>
      </x:c>
      <x:c r="F340" t="str">
        <x:v>https://online.seranking.com/</x:v>
      </x:c>
    </x:row>
    <x:row r="341">
      <x:c r="A341" t="str">
        <x:v>marketing director for auto repair shops</x:v>
      </x:c>
      <x:c r="B341" s="13" t="n">
        <x:v>0</x:v>
      </x:c>
      <x:c r="C341" s="13" t="str"/>
      <x:c r="D341" s="14" t="n">
        <x:v>0</x:v>
      </x:c>
      <x:c r="E341" t="str">
        <x:v>SE Ranking tracked keywords</x:v>
      </x:c>
      <x:c r="F341" t="str">
        <x:v>https://online.seranking.com/</x:v>
      </x:c>
    </x:row>
    <x:row r="342">
      <x:c r="A342" t="str">
        <x:v>marketing for auto shops</x:v>
      </x:c>
      <x:c r="B342" s="13" t="n">
        <x:v>0</x:v>
      </x:c>
      <x:c r="C342" s="13" t="str"/>
      <x:c r="D342" s="14" t="n">
        <x:v>0</x:v>
      </x:c>
      <x:c r="E342" t="str">
        <x:v>SE Ranking tracked keywords</x:v>
      </x:c>
      <x:c r="F342" t="str">
        <x:v>https://online.seranking.com/</x:v>
      </x:c>
    </x:row>
    <x:row r="343">
      <x:c r="A343" t="str">
        <x:v>marketing for car repair shops</x:v>
      </x:c>
      <x:c r="B343" s="13" t="n">
        <x:v>0</x:v>
      </x:c>
      <x:c r="C343" s="13" t="str"/>
      <x:c r="D343" s="14" t="n">
        <x:v>0</x:v>
      </x:c>
      <x:c r="E343" t="str">
        <x:v>SE Ranking tracked keywords</x:v>
      </x:c>
      <x:c r="F343" t="str">
        <x:v>https://online.seranking.com/</x:v>
      </x:c>
    </x:row>
    <x:row r="344">
      <x:c r="A344" t="str">
        <x:v>mechanic seo</x:v>
      </x:c>
      <x:c r="B344" s="13" t="n">
        <x:v>0</x:v>
      </x:c>
      <x:c r="C344" s="13" t="str"/>
      <x:c r="D344" s="14" t="n">
        <x:v>0</x:v>
      </x:c>
      <x:c r="E344" t="str">
        <x:v>SE Ranking tracked keywords</x:v>
      </x:c>
      <x:c r="F344" t="str">
        <x:v>https://online.seranking.com/</x:v>
      </x:c>
    </x:row>
    <x:row r="345">
      <x:c r="A345" t="str">
        <x:v>mechanic shop lead generation</x:v>
      </x:c>
      <x:c r="B345" s="13" t="n">
        <x:v>0</x:v>
      </x:c>
      <x:c r="C345" s="13" t="str"/>
      <x:c r="D345" s="14" t="n">
        <x:v>0</x:v>
      </x:c>
      <x:c r="E345" t="str">
        <x:v>SE Ranking tracked keywords</x:v>
      </x:c>
      <x:c r="F345" t="str">
        <x:v>https://online.seranking.com/</x:v>
      </x:c>
    </x:row>
    <x:row r="346">
      <x:c r="A346" t="str">
        <x:v>mechanic shop marketing</x:v>
      </x:c>
      <x:c r="B346" s="13" t="n">
        <x:v>0</x:v>
      </x:c>
      <x:c r="C346" s="13" t="str"/>
      <x:c r="D346" s="14" t="n">
        <x:v>0</x:v>
      </x:c>
      <x:c r="E346" t="str">
        <x:v>SE Ranking tracked keywords</x:v>
      </x:c>
      <x:c r="F346" t="str">
        <x:v>https://online.seranking.com/</x:v>
      </x:c>
    </x:row>
    <x:row r="347">
      <x:c r="A347" t="str">
        <x:v>outsourced marketing director auto repair</x:v>
      </x:c>
      <x:c r="B347" s="13" t="n">
        <x:v>0</x:v>
      </x:c>
      <x:c r="C347" s="13" t="str"/>
      <x:c r="D347" s="14" t="n">
        <x:v>0</x:v>
      </x:c>
      <x:c r="E347" t="str">
        <x:v>SE Ranking tracked keywords</x:v>
      </x:c>
      <x:c r="F347" t="str">
        <x:v>https://online.seranking.com/</x:v>
      </x:c>
    </x:row>
    <x:row r="348">
      <x:c r="A348" t="str">
        <x:v>outsourced marketing for auto repair shops</x:v>
      </x:c>
      <x:c r="B348" s="13" t="n">
        <x:v>0</x:v>
      </x:c>
      <x:c r="C348" s="13" t="str"/>
      <x:c r="D348" s="14" t="n">
        <x:v>0</x:v>
      </x:c>
      <x:c r="E348" t="str">
        <x:v>SE Ranking tracked keywords</x:v>
      </x:c>
      <x:c r="F348" t="str">
        <x:v>https://online.seranking.com/</x:v>
      </x:c>
    </x:row>
    <x:row r="349">
      <x:c r="A349" t="str">
        <x:v>PPC for auto repair shops</x:v>
      </x:c>
      <x:c r="B349" s="13" t="n">
        <x:v>0</x:v>
      </x:c>
      <x:c r="C349" s="13" t="str"/>
      <x:c r="D349" s="14" t="n">
        <x:v>0</x:v>
      </x:c>
      <x:c r="E349" t="str">
        <x:v>SE Ranking tracked keywords</x:v>
      </x:c>
      <x:c r="F349" t="str">
        <x:v>https://online.seranking.com/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8039073134941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62" hidden="0" customWidth="1"/>
    <x:col min="8" max="8" width="14" hidden="0" customWidth="1"/>
  </x:cols>
  <x:sheetData>
    <x:row r="1" ht="28" customHeight="1">
      <x:c r="A1" s="3" t="str">
        <x:v>SE Ranking — Competitor Keyword Gaps</x:v>
      </x:c>
      <x:c r="B1" s="3" t="str">
        <x:v>SE Ranking — Competitor Keyword Gaps</x:v>
      </x:c>
      <x:c r="C1" s="3" t="str">
        <x:v>SE Ranking — Competitor Keyword Gaps</x:v>
      </x:c>
      <x:c r="D1" s="3" t="str">
        <x:v>SE Ranking — Competitor Keyword Gaps</x:v>
      </x:c>
      <x:c r="E1" s="3" t="str">
        <x:v>SE Ranking — Competitor Keyword Gaps</x:v>
      </x:c>
      <x:c r="F1" s="3" t="str">
        <x:v>SE Ranking — Competitor Keyword Gaps</x:v>
      </x:c>
      <x:c r="G1" s="3" t="str">
        <x:v>SE Ranking — Competitor Keyword Gaps</x:v>
      </x:c>
      <x:c r="H1" s="3" t="str">
        <x:v>SE Ranking — Competitor Keyword Gaps</x:v>
      </x:c>
    </x:row>
    <x:row r="2" ht="28" customHeight="1">
      <x:c r="A2" s="3" t="str">
        <x:v>SE Ranking — Competitor Keyword Gaps</x:v>
      </x:c>
      <x:c r="B2" s="3" t="str">
        <x:v>SE Ranking — Competitor Keyword Gaps</x:v>
      </x:c>
      <x:c r="C2" s="3" t="str">
        <x:v>SE Ranking — Competitor Keyword Gaps</x:v>
      </x:c>
      <x:c r="D2" s="3" t="str">
        <x:v>SE Ranking — Competitor Keyword Gaps</x:v>
      </x:c>
      <x:c r="E2" s="3" t="str">
        <x:v>SE Ranking — Competitor Keyword Gaps</x:v>
      </x:c>
      <x:c r="F2" s="3" t="str">
        <x:v>SE Ranking — Competitor Keyword Gaps</x:v>
      </x:c>
      <x:c r="G2" s="3" t="str">
        <x:v>SE Ranking — Competitor Keyword Gaps</x:v>
      </x:c>
      <x:c r="H2" s="3" t="str">
        <x:v>SE Ranking — Competitor Keyword Gaps</x:v>
      </x:c>
    </x:row>
    <x:row r="3" ht="28" customHeight="1">
      <x:c r="A3" s="7" t="str">
        <x:v>Filtered to automotive marketing/advertising/retention/lead-generation topics. Website-design terms were excluded because they are not a current Turnkey service.</x:v>
      </x:c>
      <x:c r="B3" s="7" t="str">
        <x:v>Filtered to automotive marketing/advertising/retention/lead-generation topics. Website-design terms were excluded because they are not a current Turnkey service.</x:v>
      </x:c>
      <x:c r="C3" s="7" t="str">
        <x:v>Filtered to automotive marketing/advertising/retention/lead-generation topics. Website-design terms were excluded because they are not a current Turnkey service.</x:v>
      </x:c>
      <x:c r="D3" s="7" t="str">
        <x:v>Filtered to automotive marketing/advertising/retention/lead-generation topics. Website-design terms were excluded because they are not a current Turnkey service.</x:v>
      </x:c>
      <x:c r="E3" s="7" t="str">
        <x:v>Filtered to automotive marketing/advertising/retention/lead-generation topics. Website-design terms were excluded because they are not a current Turnkey service.</x:v>
      </x:c>
      <x:c r="F3" s="7" t="str">
        <x:v>Filtered to automotive marketing/advertising/retention/lead-generation topics. Website-design terms were excluded because they are not a current Turnkey service.</x:v>
      </x:c>
      <x:c r="G3" s="7" t="str">
        <x:v>Filtered to automotive marketing/advertising/retention/lead-generation topics. Website-design terms were excluded because they are not a current Turnkey service.</x:v>
      </x:c>
      <x:c r="H3" s="7" t="str">
        <x:v>Filtered to automotive marketing/advertising/retention/lead-generation topics. Website-design terms were excluded because they are not a current Turnkey service.</x:v>
      </x:c>
    </x:row>
    <x:row r="5">
      <x:c r="A5" t="str">
        <x:v>Competitor</x:v>
      </x:c>
      <x:c r="B5" t="str">
        <x:v>Keyword</x:v>
      </x:c>
      <x:c r="C5" t="str">
        <x:v>Volume</x:v>
      </x:c>
      <x:c r="D5" t="str">
        <x:v>Difficulty</x:v>
      </x:c>
      <x:c r="E5" t="str">
        <x:v>CPC</x:v>
      </x:c>
      <x:c r="F5" t="str">
        <x:v>Competitor position</x:v>
      </x:c>
      <x:c r="G5" t="str">
        <x:v>Competitor URL</x:v>
      </x:c>
      <x:c r="H5" t="str">
        <x:v>Intent</x:v>
      </x:c>
    </x:row>
    <x:row r="6">
      <x:c r="A6" t="str">
        <x:v>elementdma.com</x:v>
      </x:c>
      <x:c r="B6" t="str">
        <x:v>labor rate on auto repair</x:v>
      </x:c>
      <x:c r="C6" s="13" t="n">
        <x:v>390</x:v>
      </x:c>
      <x:c r="D6" s="13" t="n">
        <x:v>34</x:v>
      </x:c>
      <x:c r="E6" s="14" t="n">
        <x:v>1.54</x:v>
      </x:c>
      <x:c r="F6" s="13" t="n">
        <x:v>58</x:v>
      </x:c>
      <x:c r="G6" t="str">
        <x:v>https://elementdma.com/tools/labor-rate-calculator/</x:v>
      </x:c>
      <x:c r="H6" t="str">
        <x:v>I</x:v>
      </x:c>
    </x:row>
    <x:row r="7">
      <x:c r="A7" t="str">
        <x:v>elementdma.com</x:v>
      </x:c>
      <x:c r="B7" t="str">
        <x:v>labor rates for auto repair</x:v>
      </x:c>
      <x:c r="C7" s="13" t="n">
        <x:v>390</x:v>
      </x:c>
      <x:c r="D7" s="13" t="n">
        <x:v>21</x:v>
      </x:c>
      <x:c r="E7" s="14" t="n">
        <x:v>1.54</x:v>
      </x:c>
      <x:c r="F7" s="13" t="n">
        <x:v>61</x:v>
      </x:c>
      <x:c r="G7" t="str">
        <x:v>https://elementdma.com/tools/labor-rate-calculator/</x:v>
      </x:c>
      <x:c r="H7" t="str">
        <x:v>I</x:v>
      </x:c>
    </x:row>
    <x:row r="8">
      <x:c r="A8" t="str">
        <x:v>elementdma.com</x:v>
      </x:c>
      <x:c r="B8" t="str">
        <x:v>labor rates for auto repairs</x:v>
      </x:c>
      <x:c r="C8" s="13" t="n">
        <x:v>390</x:v>
      </x:c>
      <x:c r="D8" s="13" t="n">
        <x:v>31</x:v>
      </x:c>
      <x:c r="E8" s="14" t="n">
        <x:v>1.54</x:v>
      </x:c>
      <x:c r="F8" s="13" t="n">
        <x:v>68</x:v>
      </x:c>
      <x:c r="G8" t="str">
        <x:v>https://elementdma.com/tools/labor-rate-calculator/</x:v>
      </x:c>
      <x:c r="H8" t="str">
        <x:v>I</x:v>
      </x:c>
    </x:row>
    <x:row r="9">
      <x:c r="A9" t="str">
        <x:v>autoshopdigital.com</x:v>
      </x:c>
      <x:c r="B9" t="str">
        <x:v>auto repair shop seo</x:v>
      </x:c>
      <x:c r="C9" s="13" t="n">
        <x:v>320</x:v>
      </x:c>
      <x:c r="D9" s="13" t="n">
        <x:v>10</x:v>
      </x:c>
      <x:c r="E9" s="14" t="n">
        <x:v>3.76</x:v>
      </x:c>
      <x:c r="F9" s="13" t="n">
        <x:v>44</x:v>
      </x:c>
      <x:c r="G9" t="str">
        <x:v>https://www.autoshopdigital.com/services/managed-local-seo/</x:v>
      </x:c>
      <x:c r="H9" t="str">
        <x:v>L, T</x:v>
      </x:c>
    </x:row>
    <x:row r="10">
      <x:c r="A10" t="str">
        <x:v>autoshopdigital.com</x:v>
      </x:c>
      <x:c r="B10" t="str">
        <x:v>seo for auto repair</x:v>
      </x:c>
      <x:c r="C10" s="13" t="n">
        <x:v>320</x:v>
      </x:c>
      <x:c r="D10" s="13" t="n">
        <x:v>9</x:v>
      </x:c>
      <x:c r="E10" s="14" t="n">
        <x:v>3.76</x:v>
      </x:c>
      <x:c r="F10" s="13" t="n">
        <x:v>57</x:v>
      </x:c>
      <x:c r="G10" t="str">
        <x:v>https://www.autoshopdigital.com/services/managed-local-seo/</x:v>
      </x:c>
      <x:c r="H10" t="str">
        <x:v>I</x:v>
      </x:c>
    </x:row>
    <x:row r="11">
      <x:c r="A11" t="str">
        <x:v>autoshopdigital.com</x:v>
      </x:c>
      <x:c r="B11" t="str">
        <x:v>seo for auto repair shop</x:v>
      </x:c>
      <x:c r="C11" s="13" t="n">
        <x:v>320</x:v>
      </x:c>
      <x:c r="D11" s="13" t="n">
        <x:v>9</x:v>
      </x:c>
      <x:c r="E11" s="14" t="n">
        <x:v>3.76</x:v>
      </x:c>
      <x:c r="F11" s="13" t="n">
        <x:v>77</x:v>
      </x:c>
      <x:c r="G11" t="str">
        <x:v>https://www.autoshopdigital.com/services/managed-local-seo/</x:v>
      </x:c>
      <x:c r="H11" t="str">
        <x:v>I, N</x:v>
      </x:c>
    </x:row>
    <x:row r="12">
      <x:c r="A12" t="str">
        <x:v>autoshopsolutions.com</x:v>
      </x:c>
      <x:c r="B12" t="str">
        <x:v>auto repair advertising</x:v>
      </x:c>
      <x:c r="C12" s="13" t="n">
        <x:v>320</x:v>
      </x:c>
      <x:c r="D12" s="13" t="n">
        <x:v>11</x:v>
      </x:c>
      <x:c r="E12" s="14" t="n">
        <x:v>4.54</x:v>
      </x:c>
      <x:c r="F12" s="13" t="n">
        <x:v>3</x:v>
      </x:c>
      <x:c r="G12" t="str">
        <x:v>https://autoshopsolutions.com/industries/auto-repair/</x:v>
      </x:c>
      <x:c r="H12" t="str">
        <x:v>L, C</x:v>
      </x:c>
    </x:row>
    <x:row r="13">
      <x:c r="A13" t="str">
        <x:v>autoshopsolutions.com</x:v>
      </x:c>
      <x:c r="B13" t="str">
        <x:v>auto repair shop advertising</x:v>
      </x:c>
      <x:c r="C13" s="13" t="n">
        <x:v>320</x:v>
      </x:c>
      <x:c r="D13" s="13" t="n">
        <x:v>13</x:v>
      </x:c>
      <x:c r="E13" s="14" t="n">
        <x:v>5</x:v>
      </x:c>
      <x:c r="F13" s="13" t="n">
        <x:v>1</x:v>
      </x:c>
      <x:c r="G13" t="str">
        <x:v>https://autoshopsolutions.com/industries/auto-repair/</x:v>
      </x:c>
      <x:c r="H13" t="str">
        <x:v>I</x:v>
      </x:c>
    </x:row>
    <x:row r="14">
      <x:c r="A14" t="str">
        <x:v>autoshopsolutions.com</x:v>
      </x:c>
      <x:c r="B14" t="str">
        <x:v>advertising auto repair</x:v>
      </x:c>
      <x:c r="C14" s="13" t="n">
        <x:v>320</x:v>
      </x:c>
      <x:c r="D14" s="13" t="n">
        <x:v>17</x:v>
      </x:c>
      <x:c r="E14" s="14" t="n">
        <x:v>5</x:v>
      </x:c>
      <x:c r="F14" s="13" t="n">
        <x:v>1</x:v>
      </x:c>
      <x:c r="G14" t="str">
        <x:v>https://autoshopsolutions.com/industries/auto-repair/</x:v>
      </x:c>
      <x:c r="H14" t="str">
        <x:v>L, C</x:v>
      </x:c>
    </x:row>
    <x:row r="15">
      <x:c r="A15" t="str">
        <x:v>autoshopsolutions.com</x:v>
      </x:c>
      <x:c r="B15" t="str">
        <x:v>advertising for auto repair shops</x:v>
      </x:c>
      <x:c r="C15" s="13" t="n">
        <x:v>320</x:v>
      </x:c>
      <x:c r="D15" s="13" t="n">
        <x:v>15</x:v>
      </x:c>
      <x:c r="E15" s="14" t="n">
        <x:v>5</x:v>
      </x:c>
      <x:c r="F15" s="13" t="n">
        <x:v>1</x:v>
      </x:c>
      <x:c r="G15" t="str">
        <x:v>https://autoshopsolutions.com/industries/auto-repair/</x:v>
      </x:c>
      <x:c r="H15" t="str">
        <x:v>L, T</x:v>
      </x:c>
    </x:row>
    <x:row r="16">
      <x:c r="A16" t="str">
        <x:v>autoshopsolutions.com</x:v>
      </x:c>
      <x:c r="B16" t="str">
        <x:v>seo for auto repair shops</x:v>
      </x:c>
      <x:c r="C16" s="13" t="n">
        <x:v>320</x:v>
      </x:c>
      <x:c r="D16" s="13" t="n">
        <x:v>10</x:v>
      </x:c>
      <x:c r="E16" s="14" t="n">
        <x:v>3.76</x:v>
      </x:c>
      <x:c r="F16" s="13" t="n">
        <x:v>44</x:v>
      </x:c>
      <x:c r="G16" t="str">
        <x:v>https://autoshopsolutions.com/rpm/seo/</x:v>
      </x:c>
      <x:c r="H16" t="str">
        <x:v>I</x:v>
      </x:c>
    </x:row>
    <x:row r="17">
      <x:c r="A17" t="str">
        <x:v>autoshopsolutions.com</x:v>
      </x:c>
      <x:c r="B17" t="str">
        <x:v>seo for auto repair</x:v>
      </x:c>
      <x:c r="C17" s="13" t="n">
        <x:v>320</x:v>
      </x:c>
      <x:c r="D17" s="13" t="n">
        <x:v>9</x:v>
      </x:c>
      <x:c r="E17" s="14" t="n">
        <x:v>3.76</x:v>
      </x:c>
      <x:c r="F17" s="13" t="n">
        <x:v>36</x:v>
      </x:c>
      <x:c r="G17" t="str">
        <x:v>https://autoshopsolutions.com/rpm/seo/</x:v>
      </x:c>
      <x:c r="H17" t="str">
        <x:v>I</x:v>
      </x:c>
    </x:row>
    <x:row r="18">
      <x:c r="A18" t="str">
        <x:v>autoshopsolutions.com</x:v>
      </x:c>
      <x:c r="B18" t="str">
        <x:v>seo for auto repair shop</x:v>
      </x:c>
      <x:c r="C18" s="13" t="n">
        <x:v>320</x:v>
      </x:c>
      <x:c r="D18" s="13" t="n">
        <x:v>9</x:v>
      </x:c>
      <x:c r="E18" s="14" t="n">
        <x:v>3.76</x:v>
      </x:c>
      <x:c r="F18" s="13" t="n">
        <x:v>17</x:v>
      </x:c>
      <x:c r="G18" t="str">
        <x:v>https://autoshopsolutions.com/blog/</x:v>
      </x:c>
      <x:c r="H18" t="str">
        <x:v>I, N</x:v>
      </x:c>
    </x:row>
    <x:row r="19">
      <x:c r="A19" t="str">
        <x:v>elementdma.com</x:v>
      </x:c>
      <x:c r="B19" t="str">
        <x:v>auto repair shop labor rates</x:v>
      </x:c>
      <x:c r="C19" s="13" t="n">
        <x:v>320</x:v>
      </x:c>
      <x:c r="D19" s="13" t="n">
        <x:v>23</x:v>
      </x:c>
      <x:c r="E19" s="14" t="n">
        <x:v>1.71</x:v>
      </x:c>
      <x:c r="F19" s="13" t="n">
        <x:v>48</x:v>
      </x:c>
      <x:c r="G19" t="str">
        <x:v>https://elementdma.com/tools/labor-rate-calculator/</x:v>
      </x:c>
      <x:c r="H19" t="str">
        <x:v>I</x:v>
      </x:c>
    </x:row>
    <x:row r="20">
      <x:c r="A20" t="str">
        <x:v>elementdma.com</x:v>
      </x:c>
      <x:c r="B20" t="str">
        <x:v>auto repair shop labor rate</x:v>
      </x:c>
      <x:c r="C20" s="13" t="n">
        <x:v>320</x:v>
      </x:c>
      <x:c r="D20" s="13" t="n">
        <x:v>26</x:v>
      </x:c>
      <x:c r="E20" s="14" t="n">
        <x:v>1.71</x:v>
      </x:c>
      <x:c r="F20" s="13" t="n">
        <x:v>45</x:v>
      </x:c>
      <x:c r="G20" t="str">
        <x:v>https://elementdma.com/tools/labor-rate-calculator/</x:v>
      </x:c>
      <x:c r="H20" t="str">
        <x:v>I</x:v>
      </x:c>
    </x:row>
    <x:row r="21">
      <x:c r="A21" t="str">
        <x:v>elementdma.com</x:v>
      </x:c>
      <x:c r="B21" t="str">
        <x:v>labor rate for auto repair</x:v>
      </x:c>
      <x:c r="C21" s="13" t="n">
        <x:v>320</x:v>
      </x:c>
      <x:c r="D21" s="13" t="n">
        <x:v>28</x:v>
      </x:c>
      <x:c r="E21" s="14" t="n">
        <x:v>1.71</x:v>
      </x:c>
      <x:c r="F21" s="13" t="n">
        <x:v>61</x:v>
      </x:c>
      <x:c r="G21" t="str">
        <x:v>https://elementdma.com/tools/labor-rate-calculator/</x:v>
      </x:c>
      <x:c r="H21" t="str">
        <x:v>I</x:v>
      </x:c>
    </x:row>
    <x:row r="22">
      <x:c r="A22" t="str">
        <x:v>elementdma.com</x:v>
      </x:c>
      <x:c r="B22" t="str">
        <x:v>auto repair shop seo</x:v>
      </x:c>
      <x:c r="C22" s="13" t="n">
        <x:v>320</x:v>
      </x:c>
      <x:c r="D22" s="13" t="n">
        <x:v>10</x:v>
      </x:c>
      <x:c r="E22" s="14" t="n">
        <x:v>3.76</x:v>
      </x:c>
      <x:c r="F22" s="13" t="n">
        <x:v>36</x:v>
      </x:c>
      <x:c r="G22" t="str">
        <x:v>https://elementdma.com/top-10-local-seo-tools-for-auto-repair-shops/</x:v>
      </x:c>
      <x:c r="H22" t="str">
        <x:v>L, T</x:v>
      </x:c>
    </x:row>
    <x:row r="23">
      <x:c r="A23" t="str">
        <x:v>elementdma.com</x:v>
      </x:c>
      <x:c r="B23" t="str">
        <x:v>seo for auto repair</x:v>
      </x:c>
      <x:c r="C23" s="13" t="n">
        <x:v>320</x:v>
      </x:c>
      <x:c r="D23" s="13" t="n">
        <x:v>9</x:v>
      </x:c>
      <x:c r="E23" s="14" t="n">
        <x:v>3.76</x:v>
      </x:c>
      <x:c r="F23" s="13" t="n">
        <x:v>25</x:v>
      </x:c>
      <x:c r="G23" t="str">
        <x:v>https://elementdma.com/top-10-local-seo-tools-for-auto-repair-shops/</x:v>
      </x:c>
      <x:c r="H23" t="str">
        <x:v>I</x:v>
      </x:c>
    </x:row>
    <x:row r="24">
      <x:c r="A24" t="str">
        <x:v>elementdma.com</x:v>
      </x:c>
      <x:c r="B24" t="str">
        <x:v>labor rate auto repair</x:v>
      </x:c>
      <x:c r="C24" s="13" t="n">
        <x:v>320</x:v>
      </x:c>
      <x:c r="D24" s="13" t="n">
        <x:v>27</x:v>
      </x:c>
      <x:c r="E24" s="14" t="n">
        <x:v>1.83</x:v>
      </x:c>
      <x:c r="F24" s="13" t="n">
        <x:v>58</x:v>
      </x:c>
      <x:c r="G24" t="str">
        <x:v>https://elementdma.com/tools/labor-rate-calculator/</x:v>
      </x:c>
      <x:c r="H24" t="str">
        <x:v>L, C</x:v>
      </x:c>
    </x:row>
    <x:row r="25">
      <x:c r="A25" t="str">
        <x:v>shopmarketingpros.com</x:v>
      </x:c>
      <x:c r="B25" t="str">
        <x:v>auto repair advertising</x:v>
      </x:c>
      <x:c r="C25" s="13" t="n">
        <x:v>320</x:v>
      </x:c>
      <x:c r="D25" s="13" t="n">
        <x:v>11</x:v>
      </x:c>
      <x:c r="E25" s="14" t="n">
        <x:v>4.54</x:v>
      </x:c>
      <x:c r="F25" s="13" t="n">
        <x:v>55</x:v>
      </x:c>
      <x:c r="G25" t="str">
        <x:v>https://shopmarketingpros.com/guide-auto-repair-shop-marketing/</x:v>
      </x:c>
      <x:c r="H25" t="str">
        <x:v>L, C</x:v>
      </x:c>
    </x:row>
    <x:row r="26">
      <x:c r="A26" t="str">
        <x:v>shopmarketingpros.com</x:v>
      </x:c>
      <x:c r="B26" t="str">
        <x:v>auto repair shop advertising</x:v>
      </x:c>
      <x:c r="C26" s="13" t="n">
        <x:v>320</x:v>
      </x:c>
      <x:c r="D26" s="13" t="n">
        <x:v>13</x:v>
      </x:c>
      <x:c r="E26" s="14" t="n">
        <x:v>5</x:v>
      </x:c>
      <x:c r="F26" s="13" t="n">
        <x:v>27</x:v>
      </x:c>
      <x:c r="G26" t="str">
        <x:v>https://shopmarketingpros.com/guide-auto-repair-shop-marketing/</x:v>
      </x:c>
      <x:c r="H26" t="str">
        <x:v>I</x:v>
      </x:c>
    </x:row>
    <x:row r="27">
      <x:c r="A27" t="str">
        <x:v>shopmarketingpros.com</x:v>
      </x:c>
      <x:c r="B27" t="str">
        <x:v>advertising auto repair</x:v>
      </x:c>
      <x:c r="C27" s="13" t="n">
        <x:v>320</x:v>
      </x:c>
      <x:c r="D27" s="13" t="n">
        <x:v>17</x:v>
      </x:c>
      <x:c r="E27" s="14" t="n">
        <x:v>5</x:v>
      </x:c>
      <x:c r="F27" s="13" t="n">
        <x:v>30</x:v>
      </x:c>
      <x:c r="G27" t="str">
        <x:v>https://shopmarketingpros.com/blog/</x:v>
      </x:c>
      <x:c r="H27" t="str">
        <x:v>L, C</x:v>
      </x:c>
    </x:row>
    <x:row r="28">
      <x:c r="A28" t="str">
        <x:v>shopmarketingpros.com</x:v>
      </x:c>
      <x:c r="B28" t="str">
        <x:v>advertising for auto repair shops</x:v>
      </x:c>
      <x:c r="C28" s="13" t="n">
        <x:v>320</x:v>
      </x:c>
      <x:c r="D28" s="13" t="n">
        <x:v>15</x:v>
      </x:c>
      <x:c r="E28" s="14" t="n">
        <x:v>5</x:v>
      </x:c>
      <x:c r="F28" s="13" t="n">
        <x:v>44</x:v>
      </x:c>
      <x:c r="G28" t="str">
        <x:v>https://shopmarketingpros.com/blog/</x:v>
      </x:c>
      <x:c r="H28" t="str">
        <x:v>L, T</x:v>
      </x:c>
    </x:row>
    <x:row r="29">
      <x:c r="A29" t="str">
        <x:v>shopmarketingpros.com</x:v>
      </x:c>
      <x:c r="B29" t="str">
        <x:v>seo for auto repair shops</x:v>
      </x:c>
      <x:c r="C29" s="13" t="n">
        <x:v>320</x:v>
      </x:c>
      <x:c r="D29" s="13" t="n">
        <x:v>10</x:v>
      </x:c>
      <x:c r="E29" s="14" t="n">
        <x:v>3.76</x:v>
      </x:c>
      <x:c r="F29" s="13" t="n">
        <x:v>12</x:v>
      </x:c>
      <x:c r="G29" t="str">
        <x:v>https://shopmarketingpros.com/seo-for-auto-repair-shops/</x:v>
      </x:c>
      <x:c r="H29" t="str">
        <x:v>I</x:v>
      </x:c>
    </x:row>
    <x:row r="30">
      <x:c r="A30" t="str">
        <x:v>shopmarketingpros.com</x:v>
      </x:c>
      <x:c r="B30" t="str">
        <x:v>auto repair shop seo</x:v>
      </x:c>
      <x:c r="C30" s="13" t="n">
        <x:v>320</x:v>
      </x:c>
      <x:c r="D30" s="13" t="n">
        <x:v>10</x:v>
      </x:c>
      <x:c r="E30" s="14" t="n">
        <x:v>3.76</x:v>
      </x:c>
      <x:c r="F30" s="13" t="n">
        <x:v>5</x:v>
      </x:c>
      <x:c r="G30" t="str">
        <x:v>https://shopmarketingpros.com/seo-for-auto-repair-shops/</x:v>
      </x:c>
      <x:c r="H30" t="str">
        <x:v>L, T</x:v>
      </x:c>
    </x:row>
    <x:row r="31">
      <x:c r="A31" t="str">
        <x:v>shopmarketingpros.com</x:v>
      </x:c>
      <x:c r="B31" t="str">
        <x:v>seo for auto repair</x:v>
      </x:c>
      <x:c r="C31" s="13" t="n">
        <x:v>320</x:v>
      </x:c>
      <x:c r="D31" s="13" t="n">
        <x:v>9</x:v>
      </x:c>
      <x:c r="E31" s="14" t="n">
        <x:v>3.76</x:v>
      </x:c>
      <x:c r="F31" s="13" t="n">
        <x:v>1</x:v>
      </x:c>
      <x:c r="G31" t="str">
        <x:v>https://shopmarketingpros.com/seo-for-auto-repair-shops/</x:v>
      </x:c>
      <x:c r="H31" t="str">
        <x:v>I</x:v>
      </x:c>
    </x:row>
    <x:row r="32">
      <x:c r="A32" t="str">
        <x:v>shopmarketingpros.com</x:v>
      </x:c>
      <x:c r="B32" t="str">
        <x:v>seo for auto repair shop</x:v>
      </x:c>
      <x:c r="C32" s="13" t="n">
        <x:v>320</x:v>
      </x:c>
      <x:c r="D32" s="13" t="n">
        <x:v>9</x:v>
      </x:c>
      <x:c r="E32" s="14" t="n">
        <x:v>3.76</x:v>
      </x:c>
      <x:c r="F32" s="13" t="n">
        <x:v>31</x:v>
      </x:c>
      <x:c r="G32" t="str">
        <x:v>https://shopmarketingpros.com/seo-for-auto-repair-shops/</x:v>
      </x:c>
      <x:c r="H32" t="str">
        <x:v>I, N</x:v>
      </x:c>
    </x:row>
    <x:row r="33">
      <x:c r="A33" t="str">
        <x:v>elementdma.com</x:v>
      </x:c>
      <x:c r="B33" t="str">
        <x:v>average labor rate for auto repair</x:v>
      </x:c>
      <x:c r="C33" s="13" t="n">
        <x:v>260</x:v>
      </x:c>
      <x:c r="D33" s="13" t="n">
        <x:v>17</x:v>
      </x:c>
      <x:c r="E33" s="14" t="n">
        <x:v>1.71</x:v>
      </x:c>
      <x:c r="F33" s="13" t="n">
        <x:v>59</x:v>
      </x:c>
      <x:c r="G33" t="str">
        <x:v>https://elementdma.com/tools/labor-rate-calculator/</x:v>
      </x:c>
      <x:c r="H33" t="str">
        <x:v>I</x:v>
      </x:c>
    </x:row>
    <x:row r="34">
      <x:c r="A34" t="str">
        <x:v>elementdma.com</x:v>
      </x:c>
      <x:c r="B34" t="str">
        <x:v>average auto repair shop labor rates</x:v>
      </x:c>
      <x:c r="C34" s="13" t="n">
        <x:v>260</x:v>
      </x:c>
      <x:c r="D34" s="13" t="n">
        <x:v>14</x:v>
      </x:c>
      <x:c r="E34" s="14" t="n">
        <x:v>1.75</x:v>
      </x:c>
      <x:c r="F34" s="13" t="n">
        <x:v>66</x:v>
      </x:c>
      <x:c r="G34" t="str">
        <x:v>https://elementdma.com/tools/labor-rate-calculator/</x:v>
      </x:c>
      <x:c r="H34" t="str">
        <x:v>I</x:v>
      </x:c>
    </x:row>
    <x:row r="35">
      <x:c r="A35" t="str">
        <x:v>elementdma.com</x:v>
      </x:c>
      <x:c r="B35" t="str">
        <x:v>average labor rates for auto repair</x:v>
      </x:c>
      <x:c r="C35" s="13" t="n">
        <x:v>260</x:v>
      </x:c>
      <x:c r="D35" s="13" t="n">
        <x:v>20</x:v>
      </x:c>
      <x:c r="E35" s="14" t="n">
        <x:v>1.75</x:v>
      </x:c>
      <x:c r="F35" s="13" t="n">
        <x:v>72</x:v>
      </x:c>
      <x:c r="G35" t="str">
        <x:v>https://elementdma.com/tools/labor-rate-calculator/</x:v>
      </x:c>
      <x:c r="H35" t="str">
        <x:v>I</x:v>
      </x:c>
    </x:row>
    <x:row r="36">
      <x:c r="A36" t="str">
        <x:v>elementdma.com</x:v>
      </x:c>
      <x:c r="B36" t="str">
        <x:v>auto repair shop advertising ideas</x:v>
      </x:c>
      <x:c r="C36" s="13" t="n">
        <x:v>210</x:v>
      </x:c>
      <x:c r="D36" s="13" t="n">
        <x:v>20</x:v>
      </x:c>
      <x:c r="E36" s="14" t="n">
        <x:v>0</x:v>
      </x:c>
      <x:c r="F36" s="13" t="n">
        <x:v>39</x:v>
      </x:c>
      <x:c r="G36" t="str">
        <x:v>https://elementdma.com/blog/best-auto-repair-shop-marketing-ideas/</x:v>
      </x:c>
      <x:c r="H36" t="str">
        <x:v>I</x:v>
      </x:c>
    </x:row>
    <x:row r="37">
      <x:c r="A37" t="str">
        <x:v>elementdma.com</x:v>
      </x:c>
      <x:c r="B37" t="str">
        <x:v>auto repair advertising ideas</x:v>
      </x:c>
      <x:c r="C37" s="13" t="n">
        <x:v>210</x:v>
      </x:c>
      <x:c r="D37" s="13" t="n">
        <x:v>19</x:v>
      </x:c>
      <x:c r="E37" s="14" t="n">
        <x:v>0</x:v>
      </x:c>
      <x:c r="F37" s="13" t="n">
        <x:v>26</x:v>
      </x:c>
      <x:c r="G37" t="str">
        <x:v>https://elementdma.com/best-auto-repair-shop-marketing-ideas/</x:v>
      </x:c>
      <x:c r="H37" t="str">
        <x:v>I</x:v>
      </x:c>
    </x:row>
    <x:row r="38">
      <x:c r="A38" t="str">
        <x:v>shopmarketingpros.com</x:v>
      </x:c>
      <x:c r="B38" t="str">
        <x:v>auto repair shop advertising ideas</x:v>
      </x:c>
      <x:c r="C38" s="13" t="n">
        <x:v>210</x:v>
      </x:c>
      <x:c r="D38" s="13" t="n">
        <x:v>20</x:v>
      </x:c>
      <x:c r="E38" s="14" t="n">
        <x:v>0</x:v>
      </x:c>
      <x:c r="F38" s="13" t="n">
        <x:v>24</x:v>
      </x:c>
      <x:c r="G38" t="str">
        <x:v>https://shopmarketingpros.com/a-complete-list-of-monthly-marketing-ideas-for-your-auto-repair-shop/</x:v>
      </x:c>
      <x:c r="H38" t="str">
        <x:v>I</x:v>
      </x:c>
    </x:row>
    <x:row r="39">
      <x:c r="A39" t="str">
        <x:v>shopmarketingpros.com</x:v>
      </x:c>
      <x:c r="B39" t="str">
        <x:v>auto repair advertising ideas</x:v>
      </x:c>
      <x:c r="C39" s="13" t="n">
        <x:v>210</x:v>
      </x:c>
      <x:c r="D39" s="13" t="n">
        <x:v>19</x:v>
      </x:c>
      <x:c r="E39" s="14" t="n">
        <x:v>0</x:v>
      </x:c>
      <x:c r="F39" s="13" t="n">
        <x:v>37</x:v>
      </x:c>
      <x:c r="G39" t="str">
        <x:v>https://shopmarketingpros.com/a-complete-list-of-monthly-marketing-ideas-for-your-auto-repair-shop/</x:v>
      </x:c>
      <x:c r="H39" t="str">
        <x:v>I</x:v>
      </x:c>
    </x:row>
    <x:row r="40">
      <x:c r="A40" t="str">
        <x:v>elementdma.com</x:v>
      </x:c>
      <x:c r="B40" t="str">
        <x:v>auto repair marketing ideas</x:v>
      </x:c>
      <x:c r="C40" s="13" t="n">
        <x:v>170</x:v>
      </x:c>
      <x:c r="D40" s="13" t="n">
        <x:v>20</x:v>
      </x:c>
      <x:c r="E40" s="14" t="n">
        <x:v>3.39</x:v>
      </x:c>
      <x:c r="F40" s="13" t="n">
        <x:v>38</x:v>
      </x:c>
      <x:c r="G40" t="str">
        <x:v>https://elementdma.com/blog/best-auto-repair-shop-marketing-ideas/</x:v>
      </x:c>
      <x:c r="H40" t="str">
        <x:v>I</x:v>
      </x:c>
    </x:row>
    <x:row r="41">
      <x:c r="A41" t="str">
        <x:v>elementdma.com</x:v>
      </x:c>
      <x:c r="B41" t="str">
        <x:v>auto repair labor rates near me</x:v>
      </x:c>
      <x:c r="C41" s="13" t="n">
        <x:v>170</x:v>
      </x:c>
      <x:c r="D41" s="13" t="n">
        <x:v>35</x:v>
      </x:c>
      <x:c r="E41" s="14" t="n">
        <x:v>1.26</x:v>
      </x:c>
      <x:c r="F41" s="13" t="n">
        <x:v>66</x:v>
      </x:c>
      <x:c r="G41" t="str">
        <x:v>https://elementdma.com/tools/labor-rate-calculator/</x:v>
      </x:c>
      <x:c r="H41" t="str">
        <x:v>L, C</x:v>
      </x:c>
    </x:row>
    <x:row r="42">
      <x:c r="A42" t="str">
        <x:v>shopmarketingpros.com</x:v>
      </x:c>
      <x:c r="B42" t="str">
        <x:v>auto repair shop marketing ideas</x:v>
      </x:c>
      <x:c r="C42" s="13" t="n">
        <x:v>170</x:v>
      </x:c>
      <x:c r="D42" s="13" t="n">
        <x:v>19</x:v>
      </x:c>
      <x:c r="E42" s="14" t="n">
        <x:v>3.94</x:v>
      </x:c>
      <x:c r="F42" s="13" t="n">
        <x:v>1</x:v>
      </x:c>
      <x:c r="G42" t="str">
        <x:v>https://shopmarketingpros.com/top-marketing-tools-for-auto-repair-shops/</x:v>
      </x:c>
      <x:c r="H42" t="str">
        <x:v>I</x:v>
      </x:c>
    </x:row>
    <x:row r="43">
      <x:c r="A43" t="str">
        <x:v>shopmarketingpros.com</x:v>
      </x:c>
      <x:c r="B43" t="str">
        <x:v>auto repair marketing ideas</x:v>
      </x:c>
      <x:c r="C43" s="13" t="n">
        <x:v>170</x:v>
      </x:c>
      <x:c r="D43" s="13" t="n">
        <x:v>20</x:v>
      </x:c>
      <x:c r="E43" s="14" t="n">
        <x:v>3.39</x:v>
      </x:c>
      <x:c r="F43" s="13" t="n">
        <x:v>23</x:v>
      </x:c>
      <x:c r="G43" t="str">
        <x:v>https://shopmarketingpros.com/guide-auto-repair-shop-marketing/</x:v>
      </x:c>
      <x:c r="H43" t="str">
        <x:v>I</x:v>
      </x:c>
    </x:row>
    <x:row r="44">
      <x:c r="A44" t="str">
        <x:v>autoshopdigital.com</x:v>
      </x:c>
      <x:c r="B44" t="str">
        <x:v>auto repair seo</x:v>
      </x:c>
      <x:c r="C44" s="13" t="n">
        <x:v>140</x:v>
      </x:c>
      <x:c r="D44" s="13" t="n">
        <x:v>12</x:v>
      </x:c>
      <x:c r="E44" s="14" t="n">
        <x:v>5.15</x:v>
      </x:c>
      <x:c r="F44" s="13" t="n">
        <x:v>32</x:v>
      </x:c>
      <x:c r="G44" t="str">
        <x:v>https://www.autoshopdigital.com/services/managed-local-seo/</x:v>
      </x:c>
      <x:c r="H44" t="str">
        <x:v>L, C</x:v>
      </x:c>
    </x:row>
    <x:row r="45">
      <x:c r="A45" t="str">
        <x:v>autoshopdigital.com</x:v>
      </x:c>
      <x:c r="B45" t="str">
        <x:v>auto repair marketing strategies</x:v>
      </x:c>
      <x:c r="C45" s="13" t="n">
        <x:v>140</x:v>
      </x:c>
      <x:c r="D45" s="13" t="n">
        <x:v>19</x:v>
      </x:c>
      <x:c r="E45" s="14" t="n">
        <x:v>0</x:v>
      </x:c>
      <x:c r="F45" s="13" t="n">
        <x:v>79</x:v>
      </x:c>
      <x:c r="G45" t="str">
        <x:v>https://www.autoshopdigital.com/blog/auto-repair-marketing-plan-guide/</x:v>
      </x:c>
      <x:c r="H45" t="str">
        <x:v>I</x:v>
      </x:c>
    </x:row>
    <x:row r="46">
      <x:c r="A46" t="str">
        <x:v>autoshopdigital.com</x:v>
      </x:c>
      <x:c r="B46" t="str">
        <x:v>auto repair shop marketing strategies</x:v>
      </x:c>
      <x:c r="C46" s="13" t="n">
        <x:v>140</x:v>
      </x:c>
      <x:c r="D46" s="13" t="n">
        <x:v>19</x:v>
      </x:c>
      <x:c r="E46" s="14" t="n">
        <x:v>0</x:v>
      </x:c>
      <x:c r="F46" s="13" t="n">
        <x:v>56</x:v>
      </x:c>
      <x:c r="G46" t="str">
        <x:v>https://www.autoshopdigital.com/blog/auto-repair-marketing-plan-guide/</x:v>
      </x:c>
      <x:c r="H46" t="str">
        <x:v>I</x:v>
      </x:c>
    </x:row>
    <x:row r="47">
      <x:c r="A47" t="str">
        <x:v>autoshopsolutions.com</x:v>
      </x:c>
      <x:c r="B47" t="str">
        <x:v>auto repair seo</x:v>
      </x:c>
      <x:c r="C47" s="13" t="n">
        <x:v>140</x:v>
      </x:c>
      <x:c r="D47" s="13" t="n">
        <x:v>12</x:v>
      </x:c>
      <x:c r="E47" s="14" t="n">
        <x:v>5.15</x:v>
      </x:c>
      <x:c r="F47" s="13" t="n">
        <x:v>12</x:v>
      </x:c>
      <x:c r="G47" t="str">
        <x:v>https://autoshopsolutions.com/blog/</x:v>
      </x:c>
      <x:c r="H47" t="str">
        <x:v>L, C</x:v>
      </x:c>
    </x:row>
    <x:row r="48">
      <x:c r="A48" t="str">
        <x:v>autoshopsolutions.com</x:v>
      </x:c>
      <x:c r="B48" t="str">
        <x:v>auto repair shop marketing strategies</x:v>
      </x:c>
      <x:c r="C48" s="13" t="n">
        <x:v>140</x:v>
      </x:c>
      <x:c r="D48" s="13" t="n">
        <x:v>19</x:v>
      </x:c>
      <x:c r="E48" s="14" t="n">
        <x:v>0</x:v>
      </x:c>
      <x:c r="F48" s="13" t="n">
        <x:v>1</x:v>
      </x:c>
      <x:c r="G48" t="str">
        <x:v>https://autoshopsolutions.com/getting-new-customers-into-your-auto-shop/</x:v>
      </x:c>
      <x:c r="H48" t="str">
        <x:v>I</x:v>
      </x:c>
    </x:row>
    <x:row r="49">
      <x:c r="A49" t="str">
        <x:v>elementdma.com</x:v>
      </x:c>
      <x:c r="B49" t="str">
        <x:v>auto repair seo</x:v>
      </x:c>
      <x:c r="C49" s="13" t="n">
        <x:v>140</x:v>
      </x:c>
      <x:c r="D49" s="13" t="n">
        <x:v>12</x:v>
      </x:c>
      <x:c r="E49" s="14" t="n">
        <x:v>5.15</x:v>
      </x:c>
      <x:c r="F49" s="13" t="n">
        <x:v>37</x:v>
      </x:c>
      <x:c r="G49" t="str">
        <x:v>https://elementdma.com/top-10-local-seo-tools-for-auto-repair-shops/</x:v>
      </x:c>
      <x:c r="H49" t="str">
        <x:v>L, C</x:v>
      </x:c>
    </x:row>
    <x:row r="50">
      <x:c r="A50" t="str">
        <x:v>elementdma.com</x:v>
      </x:c>
      <x:c r="B50" t="str">
        <x:v>auto repair marketing strategies</x:v>
      </x:c>
      <x:c r="C50" s="13" t="n">
        <x:v>140</x:v>
      </x:c>
      <x:c r="D50" s="13" t="n">
        <x:v>19</x:v>
      </x:c>
      <x:c r="E50" s="14" t="n">
        <x:v>0</x:v>
      </x:c>
      <x:c r="F50" s="13" t="n">
        <x:v>52</x:v>
      </x:c>
      <x:c r="G50" t="str">
        <x:v>https://elementdma.com/blog/best-auto-repair-shop-marketing-ideas/</x:v>
      </x:c>
      <x:c r="H50" t="str">
        <x:v>I</x:v>
      </x:c>
    </x:row>
    <x:row r="51">
      <x:c r="A51" t="str">
        <x:v>elementdma.com</x:v>
      </x:c>
      <x:c r="B51" t="str">
        <x:v>auto repair shop marketing strategies</x:v>
      </x:c>
      <x:c r="C51" s="13" t="n">
        <x:v>140</x:v>
      </x:c>
      <x:c r="D51" s="13" t="n">
        <x:v>19</x:v>
      </x:c>
      <x:c r="E51" s="14" t="n">
        <x:v>0</x:v>
      </x:c>
      <x:c r="F51" s="13" t="n">
        <x:v>48</x:v>
      </x:c>
      <x:c r="G51" t="str">
        <x:v>https://elementdma.com/blog/best-auto-repair-shop-marketing-ideas/</x:v>
      </x:c>
      <x:c r="H51" t="str">
        <x:v>I</x:v>
      </x:c>
    </x:row>
    <x:row r="52">
      <x:c r="A52" t="str">
        <x:v>shopmarketingpros.com</x:v>
      </x:c>
      <x:c r="B52" t="str">
        <x:v>auto repair seo</x:v>
      </x:c>
      <x:c r="C52" s="13" t="n">
        <x:v>140</x:v>
      </x:c>
      <x:c r="D52" s="13" t="n">
        <x:v>12</x:v>
      </x:c>
      <x:c r="E52" s="14" t="n">
        <x:v>5.15</x:v>
      </x:c>
      <x:c r="F52" s="13" t="n">
        <x:v>20</x:v>
      </x:c>
      <x:c r="G52" t="str">
        <x:v>https://shopmarketingpros.com/seo-for-auto-repair-shops/</x:v>
      </x:c>
      <x:c r="H52" t="str">
        <x:v>L, C</x:v>
      </x:c>
    </x:row>
    <x:row r="53">
      <x:c r="A53" t="str">
        <x:v>shopmarketingpros.com</x:v>
      </x:c>
      <x:c r="B53" t="str">
        <x:v>auto repair marketing strategies</x:v>
      </x:c>
      <x:c r="C53" s="13" t="n">
        <x:v>140</x:v>
      </x:c>
      <x:c r="D53" s="13" t="n">
        <x:v>19</x:v>
      </x:c>
      <x:c r="E53" s="14" t="n">
        <x:v>0</x:v>
      </x:c>
      <x:c r="F53" s="13" t="n">
        <x:v>37</x:v>
      </x:c>
      <x:c r="G53" t="str">
        <x:v>https://shopmarketingpros.com/guide-auto-repair-shop-marketing/</x:v>
      </x:c>
      <x:c r="H53" t="str">
        <x:v>I</x:v>
      </x:c>
    </x:row>
    <x:row r="54">
      <x:c r="A54" t="str">
        <x:v>shopmarketingpros.com</x:v>
      </x:c>
      <x:c r="B54" t="str">
        <x:v>auto repair shop marketing strategies</x:v>
      </x:c>
      <x:c r="C54" s="13" t="n">
        <x:v>140</x:v>
      </x:c>
      <x:c r="D54" s="13" t="n">
        <x:v>19</x:v>
      </x:c>
      <x:c r="E54" s="14" t="n">
        <x:v>0</x:v>
      </x:c>
      <x:c r="F54" s="13" t="n">
        <x:v>19</x:v>
      </x:c>
      <x:c r="G54" t="str">
        <x:v>https://shopmarketingpros.com/blog/</x:v>
      </x:c>
      <x:c r="H54" t="str">
        <x:v>I</x:v>
      </x:c>
    </x:row>
    <x:row r="55">
      <x:c r="A55" t="str">
        <x:v>autoshopdigital.com</x:v>
      </x:c>
      <x:c r="B55" t="str">
        <x:v>google ads for auto repair shops</x:v>
      </x:c>
      <x:c r="C55" s="13" t="n">
        <x:v>110</x:v>
      </x:c>
      <x:c r="D55" s="13" t="n">
        <x:v>5</x:v>
      </x:c>
      <x:c r="E55" s="14" t="n">
        <x:v>17.33</x:v>
      </x:c>
      <x:c r="F55" s="13" t="n">
        <x:v>34</x:v>
      </x:c>
      <x:c r="G55" t="str">
        <x:v>https://www.autoshopdigital.com/services/managed-google-ads/</x:v>
      </x:c>
      <x:c r="H55" t="str">
        <x:v>I</x:v>
      </x:c>
    </x:row>
    <x:row r="56">
      <x:c r="A56" t="str">
        <x:v>autoshopsolutions.com</x:v>
      </x:c>
      <x:c r="B56" t="str">
        <x:v>google ads for auto repair shops</x:v>
      </x:c>
      <x:c r="C56" s="13" t="n">
        <x:v>110</x:v>
      </x:c>
      <x:c r="D56" s="13" t="n">
        <x:v>5</x:v>
      </x:c>
      <x:c r="E56" s="14" t="n">
        <x:v>17.33</x:v>
      </x:c>
      <x:c r="F56" s="13" t="n">
        <x:v>11</x:v>
      </x:c>
      <x:c r="G56" t="str">
        <x:v>https://autoshopsolutions.com/rpm/pay-per-click/</x:v>
      </x:c>
      <x:c r="H56" t="str">
        <x:v>I</x:v>
      </x:c>
    </x:row>
    <x:row r="57">
      <x:c r="A57" t="str">
        <x:v>kukui.com</x:v>
      </x:c>
      <x:c r="B57" t="str">
        <x:v>google ads for auto repair shops</x:v>
      </x:c>
      <x:c r="C57" s="13" t="n">
        <x:v>110</x:v>
      </x:c>
      <x:c r="D57" s="13" t="n">
        <x:v>5</x:v>
      </x:c>
      <x:c r="E57" s="14" t="n">
        <x:v>17.33</x:v>
      </x:c>
      <x:c r="F57" s="13" t="n">
        <x:v>5</x:v>
      </x:c>
      <x:c r="G57" t="str">
        <x:v>https://www.kukui.com/google-ads</x:v>
      </x:c>
      <x:c r="H57" t="str">
        <x:v>I</x:v>
      </x:c>
    </x:row>
    <x:row r="58">
      <x:c r="A58" t="str">
        <x:v>shopmarketingpros.com</x:v>
      </x:c>
      <x:c r="B58" t="str">
        <x:v>google ads for auto repair shops</x:v>
      </x:c>
      <x:c r="C58" s="13" t="n">
        <x:v>110</x:v>
      </x:c>
      <x:c r="D58" s="13" t="n">
        <x:v>5</x:v>
      </x:c>
      <x:c r="E58" s="14" t="n">
        <x:v>17.33</x:v>
      </x:c>
      <x:c r="F58" s="13" t="n">
        <x:v>8</x:v>
      </x:c>
      <x:c r="G58" t="str">
        <x:v>https://shopmarketingpros.com/google-ads-for-auto-repair-shops-done-right/</x:v>
      </x:c>
      <x:c r="H58" t="str">
        <x:v>I</x:v>
      </x:c>
    </x:row>
    <x:row r="59">
      <x:c r="A59" t="str">
        <x:v>elementdma.com</x:v>
      </x:c>
      <x:c r="B59" t="str">
        <x:v>hourly labor rate for auto repair</x:v>
      </x:c>
      <x:c r="C59" s="13" t="n">
        <x:v>90</x:v>
      </x:c>
      <x:c r="D59" s="13" t="n">
        <x:v>21</x:v>
      </x:c>
      <x:c r="E59" s="14" t="n">
        <x:v>2.16</x:v>
      </x:c>
      <x:c r="F59" s="13" t="n">
        <x:v>45</x:v>
      </x:c>
      <x:c r="G59" t="str">
        <x:v>https://elementdma.com/tools/labor-rate-calculator/</x:v>
      </x:c>
      <x:c r="H59" t="str">
        <x:v>I</x:v>
      </x:c>
    </x:row>
    <x:row r="60">
      <x:c r="A60" t="str">
        <x:v>autoshopdigital.com</x:v>
      </x:c>
      <x:c r="B60" t="str">
        <x:v>digital marketing for auto repair shops</x:v>
      </x:c>
      <x:c r="C60" s="13" t="n">
        <x:v>70</x:v>
      </x:c>
      <x:c r="D60" s="13" t="n">
        <x:v>20</x:v>
      </x:c>
      <x:c r="E60" s="14" t="n">
        <x:v>0</x:v>
      </x:c>
      <x:c r="F60" s="13" t="n">
        <x:v>56</x:v>
      </x:c>
      <x:c r="G60" t="str">
        <x:v>https://www.autoshopdigital.com/</x:v>
      </x:c>
      <x:c r="H60" t="str">
        <x:v>I</x:v>
      </x:c>
    </x:row>
    <x:row r="61">
      <x:c r="A61" t="str">
        <x:v>autoshopdigital.com</x:v>
      </x:c>
      <x:c r="B61" t="str">
        <x:v>digital marketing for auto repair shop</x:v>
      </x:c>
      <x:c r="C61" s="13" t="n">
        <x:v>70</x:v>
      </x:c>
      <x:c r="D61" s="13" t="n">
        <x:v>20</x:v>
      </x:c>
      <x:c r="E61" s="14" t="n">
        <x:v>0</x:v>
      </x:c>
      <x:c r="F61" s="13" t="n">
        <x:v>58</x:v>
      </x:c>
      <x:c r="G61" t="str">
        <x:v>https://www.autoshopdigital.com/</x:v>
      </x:c>
      <x:c r="H61" t="str">
        <x:v>I</x:v>
      </x:c>
    </x:row>
    <x:row r="62">
      <x:c r="A62" t="str">
        <x:v>autoshopsolutions.com</x:v>
      </x:c>
      <x:c r="B62" t="str">
        <x:v>auto repair business marketing</x:v>
      </x:c>
      <x:c r="C62" s="13" t="n">
        <x:v>70</x:v>
      </x:c>
      <x:c r="D62" s="13" t="n">
        <x:v>24</x:v>
      </x:c>
      <x:c r="E62" s="14" t="n">
        <x:v>0</x:v>
      </x:c>
      <x:c r="F62" s="13" t="n">
        <x:v>2</x:v>
      </x:c>
      <x:c r="G62" t="str">
        <x:v>https://autoshopsolutions.com/industries/auto-repair/</x:v>
      </x:c>
      <x:c r="H62" t="str">
        <x:v>I</x:v>
      </x:c>
    </x:row>
    <x:row r="63">
      <x:c r="A63" t="str">
        <x:v>autoshopsolutions.com</x:v>
      </x:c>
      <x:c r="B63" t="str">
        <x:v>digital marketing for auto repair shops</x:v>
      </x:c>
      <x:c r="C63" s="13" t="n">
        <x:v>70</x:v>
      </x:c>
      <x:c r="D63" s="13" t="n">
        <x:v>20</x:v>
      </x:c>
      <x:c r="E63" s="14" t="n">
        <x:v>0</x:v>
      </x:c>
      <x:c r="F63" s="13" t="n">
        <x:v>1</x:v>
      </x:c>
      <x:c r="G63" t="str">
        <x:v>https://autoshopsolutions.com/industries/auto-repair/</x:v>
      </x:c>
      <x:c r="H63" t="str">
        <x:v>I</x:v>
      </x:c>
    </x:row>
    <x:row r="64">
      <x:c r="A64" t="str">
        <x:v>autoshopsolutions.com</x:v>
      </x:c>
      <x:c r="B64" t="str">
        <x:v>local seo for auto repair shops</x:v>
      </x:c>
      <x:c r="C64" s="13" t="n">
        <x:v>70</x:v>
      </x:c>
      <x:c r="D64" s="13" t="n">
        <x:v>6</x:v>
      </x:c>
      <x:c r="E64" s="14" t="n">
        <x:v>0</x:v>
      </x:c>
      <x:c r="F64" s="13" t="n">
        <x:v>80</x:v>
      </x:c>
      <x:c r="G64" t="str">
        <x:v>https://autoshopsolutions.com/rpm/seo/</x:v>
      </x:c>
      <x:c r="H64" t="str">
        <x:v>L, T</x:v>
      </x:c>
    </x:row>
    <x:row r="65">
      <x:c r="A65" t="str">
        <x:v>autoshopsolutions.com</x:v>
      </x:c>
      <x:c r="B65" t="str">
        <x:v>digital marketing for auto repair shop</x:v>
      </x:c>
      <x:c r="C65" s="13" t="n">
        <x:v>70</x:v>
      </x:c>
      <x:c r="D65" s="13" t="n">
        <x:v>20</x:v>
      </x:c>
      <x:c r="E65" s="14" t="n">
        <x:v>0</x:v>
      </x:c>
      <x:c r="F65" s="13" t="n">
        <x:v>1</x:v>
      </x:c>
      <x:c r="G65" t="str">
        <x:v>https://autoshopsolutions.com/industries/auto-repair/</x:v>
      </x:c>
      <x:c r="H65" t="str">
        <x:v>I</x:v>
      </x:c>
    </x:row>
    <x:row r="66">
      <x:c r="A66" t="str">
        <x:v>elementdma.com</x:v>
      </x:c>
      <x:c r="B66" t="str">
        <x:v>what is the average labor rate for auto repair</x:v>
      </x:c>
      <x:c r="C66" s="13" t="n">
        <x:v>70</x:v>
      </x:c>
      <x:c r="D66" s="13" t="n">
        <x:v>21</x:v>
      </x:c>
      <x:c r="E66" s="14" t="n">
        <x:v>0</x:v>
      </x:c>
      <x:c r="F66" s="13" t="n">
        <x:v>66</x:v>
      </x:c>
      <x:c r="G66" t="str">
        <x:v>https://elementdma.com/tools/labor-rate-calculator/</x:v>
      </x:c>
      <x:c r="H66" t="str">
        <x:v>I</x:v>
      </x:c>
    </x:row>
    <x:row r="67">
      <x:c r="A67" t="str">
        <x:v>elementdma.com</x:v>
      </x:c>
      <x:c r="B67" t="str">
        <x:v>auto repair business marketing</x:v>
      </x:c>
      <x:c r="C67" s="13" t="n">
        <x:v>70</x:v>
      </x:c>
      <x:c r="D67" s="13" t="n">
        <x:v>24</x:v>
      </x:c>
      <x:c r="E67" s="14" t="n">
        <x:v>0</x:v>
      </x:c>
      <x:c r="F67" s="13" t="n">
        <x:v>30</x:v>
      </x:c>
      <x:c r="G67" t="str">
        <x:v>https://elementdma.com/blog/best-auto-repair-shop-marketing-ideas/</x:v>
      </x:c>
      <x:c r="H67" t="str">
        <x:v>I</x:v>
      </x:c>
    </x:row>
    <x:row r="68">
      <x:c r="A68" t="str">
        <x:v>elementdma.com</x:v>
      </x:c>
      <x:c r="B68" t="str">
        <x:v>digital marketing for auto repair shops</x:v>
      </x:c>
      <x:c r="C68" s="13" t="n">
        <x:v>70</x:v>
      </x:c>
      <x:c r="D68" s="13" t="n">
        <x:v>20</x:v>
      </x:c>
      <x:c r="E68" s="14" t="n">
        <x:v>0</x:v>
      </x:c>
      <x:c r="F68" s="13" t="n">
        <x:v>19</x:v>
      </x:c>
      <x:c r="G68" t="str">
        <x:v>https://elementdma.com/services/digital-marketing-services-for-auto-repair-shop-united-states/</x:v>
      </x:c>
      <x:c r="H68" t="str">
        <x:v>I</x:v>
      </x:c>
    </x:row>
    <x:row r="69">
      <x:c r="A69" t="str">
        <x:v>elementdma.com</x:v>
      </x:c>
      <x:c r="B69" t="str">
        <x:v>local seo for auto repair shops</x:v>
      </x:c>
      <x:c r="C69" s="13" t="n">
        <x:v>70</x:v>
      </x:c>
      <x:c r="D69" s="13" t="n">
        <x:v>6</x:v>
      </x:c>
      <x:c r="E69" s="14" t="n">
        <x:v>0</x:v>
      </x:c>
      <x:c r="F69" s="13" t="n">
        <x:v>22</x:v>
      </x:c>
      <x:c r="G69" t="str">
        <x:v>https://elementdma.com/top-10-local-seo-tools-for-auto-repair-shops/</x:v>
      </x:c>
      <x:c r="H69" t="str">
        <x:v>L, T</x:v>
      </x:c>
    </x:row>
    <x:row r="70">
      <x:c r="A70" t="str">
        <x:v>elementdma.com</x:v>
      </x:c>
      <x:c r="B70" t="str">
        <x:v>digital marketing for auto repair shop</x:v>
      </x:c>
      <x:c r="C70" s="13" t="n">
        <x:v>70</x:v>
      </x:c>
      <x:c r="D70" s="13" t="n">
        <x:v>20</x:v>
      </x:c>
      <x:c r="E70" s="14" t="n">
        <x:v>0</x:v>
      </x:c>
      <x:c r="F70" s="13" t="n">
        <x:v>61</x:v>
      </x:c>
      <x:c r="G70" t="str">
        <x:v>https://elementdma.com/services/digital-marketing-services-for-auto-repair-shop-united-states/</x:v>
      </x:c>
      <x:c r="H70" t="str">
        <x:v>I</x:v>
      </x:c>
    </x:row>
    <x:row r="71">
      <x:c r="A71" t="str">
        <x:v>kukui.com</x:v>
      </x:c>
      <x:c r="B71" t="str">
        <x:v>digital marketing for auto repair shops</x:v>
      </x:c>
      <x:c r="C71" s="13" t="n">
        <x:v>70</x:v>
      </x:c>
      <x:c r="D71" s="13" t="n">
        <x:v>20</x:v>
      </x:c>
      <x:c r="E71" s="14" t="n">
        <x:v>0</x:v>
      </x:c>
      <x:c r="F71" s="13" t="n">
        <x:v>7</x:v>
      </x:c>
      <x:c r="G71" t="str">
        <x:v>https://www.kukui.com/trends-and-strategies-in-automotive-digital-marketing-for-independent-repair-shops</x:v>
      </x:c>
      <x:c r="H71" t="str">
        <x:v>I</x:v>
      </x:c>
    </x:row>
    <x:row r="72">
      <x:c r="A72" t="str">
        <x:v>kukui.com</x:v>
      </x:c>
      <x:c r="B72" t="str">
        <x:v>digital marketing for auto repair shop</x:v>
      </x:c>
      <x:c r="C72" s="13" t="n">
        <x:v>70</x:v>
      </x:c>
      <x:c r="D72" s="13" t="n">
        <x:v>20</x:v>
      </x:c>
      <x:c r="E72" s="14" t="n">
        <x:v>0</x:v>
      </x:c>
      <x:c r="F72" s="13" t="n">
        <x:v>1</x:v>
      </x:c>
      <x:c r="G72" t="str">
        <x:v>https://www.kukui.com/trends-and-strategies-in-automotive-digital-marketing-for-independent-repair-shops</x:v>
      </x:c>
      <x:c r="H72" t="str">
        <x:v>I</x:v>
      </x:c>
    </x:row>
    <x:row r="73">
      <x:c r="A73" t="str">
        <x:v>shopmarketingpros.com</x:v>
      </x:c>
      <x:c r="B73" t="str">
        <x:v>auto repair business marketing</x:v>
      </x:c>
      <x:c r="C73" s="13" t="n">
        <x:v>70</x:v>
      </x:c>
      <x:c r="D73" s="13" t="n">
        <x:v>24</x:v>
      </x:c>
      <x:c r="E73" s="14" t="n">
        <x:v>0</x:v>
      </x:c>
      <x:c r="F73" s="13" t="n">
        <x:v>9</x:v>
      </x:c>
      <x:c r="G73" t="str">
        <x:v>https://shopmarketingpros.com/</x:v>
      </x:c>
      <x:c r="H73" t="str">
        <x:v>I</x:v>
      </x:c>
    </x:row>
    <x:row r="74">
      <x:c r="A74" t="str">
        <x:v>shopmarketingpros.com</x:v>
      </x:c>
      <x:c r="B74" t="str">
        <x:v>digital marketing for auto repair shops</x:v>
      </x:c>
      <x:c r="C74" s="13" t="n">
        <x:v>70</x:v>
      </x:c>
      <x:c r="D74" s="13" t="n">
        <x:v>20</x:v>
      </x:c>
      <x:c r="E74" s="14" t="n">
        <x:v>0</x:v>
      </x:c>
      <x:c r="F74" s="13" t="n">
        <x:v>1</x:v>
      </x:c>
      <x:c r="G74" t="str">
        <x:v>https://shopmarketingpros.com/top-marketing-tools-for-auto-repair-shops/</x:v>
      </x:c>
      <x:c r="H74" t="str">
        <x:v>I</x:v>
      </x:c>
    </x:row>
    <x:row r="75">
      <x:c r="A75" t="str">
        <x:v>shopmarketingpros.com</x:v>
      </x:c>
      <x:c r="B75" t="str">
        <x:v>local seo for auto repair shops</x:v>
      </x:c>
      <x:c r="C75" s="13" t="n">
        <x:v>70</x:v>
      </x:c>
      <x:c r="D75" s="13" t="n">
        <x:v>6</x:v>
      </x:c>
      <x:c r="E75" s="14" t="n">
        <x:v>0</x:v>
      </x:c>
      <x:c r="F75" s="13" t="n">
        <x:v>49</x:v>
      </x:c>
      <x:c r="G75" t="str">
        <x:v>https://shopmarketingpros.com/seo-for-auto-repair-shops/</x:v>
      </x:c>
      <x:c r="H75" t="str">
        <x:v>L, T</x:v>
      </x:c>
    </x:row>
    <x:row r="76">
      <x:c r="A76" t="str">
        <x:v>shopmarketingpros.com</x:v>
      </x:c>
      <x:c r="B76" t="str">
        <x:v>digital marketing for auto repair shop</x:v>
      </x:c>
      <x:c r="C76" s="13" t="n">
        <x:v>70</x:v>
      </x:c>
      <x:c r="D76" s="13" t="n">
        <x:v>20</x:v>
      </x:c>
      <x:c r="E76" s="14" t="n">
        <x:v>0</x:v>
      </x:c>
      <x:c r="F76" s="13" t="n">
        <x:v>1</x:v>
      </x:c>
      <x:c r="G76" t="str">
        <x:v>https://shopmarketingpros.com/top-marketing-tools-for-auto-repair-shops/</x:v>
      </x:c>
      <x:c r="H76" t="str">
        <x:v>I</x:v>
      </x:c>
    </x:row>
    <x:row r="77">
      <x:c r="A77" t="str">
        <x:v>autoshopsolutions.com</x:v>
      </x:c>
      <x:c r="B77" t="str">
        <x:v>auto repair lead generation</x:v>
      </x:c>
      <x:c r="C77" s="13" t="n">
        <x:v>50</x:v>
      </x:c>
      <x:c r="D77" s="13" t="n">
        <x:v>13</x:v>
      </x:c>
      <x:c r="E77" s="14" t="n">
        <x:v>0</x:v>
      </x:c>
      <x:c r="F77" s="13" t="n">
        <x:v>57</x:v>
      </x:c>
      <x:c r="G77" t="str">
        <x:v>https://autoshopsolutions.com/blog/</x:v>
      </x:c>
      <x:c r="H77" t="str">
        <x:v>I</x:v>
      </x:c>
    </x:row>
    <x:row r="78">
      <x:c r="A78" t="str">
        <x:v>elementdma.com</x:v>
      </x:c>
      <x:c r="B78" t="str">
        <x:v>auto repair lead generation</x:v>
      </x:c>
      <x:c r="C78" s="13" t="n">
        <x:v>50</x:v>
      </x:c>
      <x:c r="D78" s="13" t="n">
        <x:v>13</x:v>
      </x:c>
      <x:c r="E78" s="14" t="n">
        <x:v>0</x:v>
      </x:c>
      <x:c r="F78" s="13" t="n">
        <x:v>48</x:v>
      </x:c>
      <x:c r="G78" t="str">
        <x:v>https://elementdma.com/best-auto-repair-shop-marketing-ideas/</x:v>
      </x:c>
      <x:c r="H78" t="str">
        <x:v>I</x:v>
      </x:c>
    </x:row>
    <x:row r="79">
      <x:c r="A79" t="str">
        <x:v>autoshopdigital.com</x:v>
      </x:c>
      <x:c r="B79" t="str">
        <x:v>auto repair marketing agency</x:v>
      </x:c>
      <x:c r="C79" s="13" t="n">
        <x:v>40</x:v>
      </x:c>
      <x:c r="D79" s="13" t="n">
        <x:v>14</x:v>
      </x:c>
      <x:c r="E79" s="14" t="n">
        <x:v>4.51</x:v>
      </x:c>
      <x:c r="F79" s="13" t="n">
        <x:v>34</x:v>
      </x:c>
      <x:c r="G79" t="str">
        <x:v>https://www.autoshopdigital.com/</x:v>
      </x:c>
      <x:c r="H79" t="str">
        <x:v>L, C</x:v>
      </x:c>
    </x:row>
    <x:row r="80">
      <x:c r="A80" t="str">
        <x:v>autoshopsolutions.com</x:v>
      </x:c>
      <x:c r="B80" t="str">
        <x:v>auto repair marketing agency</x:v>
      </x:c>
      <x:c r="C80" s="13" t="n">
        <x:v>40</x:v>
      </x:c>
      <x:c r="D80" s="13" t="n">
        <x:v>14</x:v>
      </x:c>
      <x:c r="E80" s="14" t="n">
        <x:v>4.51</x:v>
      </x:c>
      <x:c r="F80" s="13" t="n">
        <x:v>1</x:v>
      </x:c>
      <x:c r="G80" t="str">
        <x:v>https://autoshopsolutions.com/industries/auto-repair/</x:v>
      </x:c>
      <x:c r="H80" t="str">
        <x:v>L, C</x:v>
      </x:c>
    </x:row>
    <x:row r="81">
      <x:c r="A81" t="str">
        <x:v>elementdma.com</x:v>
      </x:c>
      <x:c r="B81" t="str">
        <x:v>auto repair marketing agency</x:v>
      </x:c>
      <x:c r="C81" s="13" t="n">
        <x:v>40</x:v>
      </x:c>
      <x:c r="D81" s="13" t="n">
        <x:v>14</x:v>
      </x:c>
      <x:c r="E81" s="14" t="n">
        <x:v>4.51</x:v>
      </x:c>
      <x:c r="F81" s="13" t="n">
        <x:v>50</x:v>
      </x:c>
      <x:c r="G81" t="str">
        <x:v>https://elementdma.com/top-23-auto-repair-marketing-companies-in-the-us/</x:v>
      </x:c>
      <x:c r="H81" t="str">
        <x:v>L, C</x:v>
      </x:c>
    </x:row>
    <x:row r="82">
      <x:c r="A82" t="str">
        <x:v>shopmarketingpros.com</x:v>
      </x:c>
      <x:c r="B82" t="str">
        <x:v>auto repair marketing agency</x:v>
      </x:c>
      <x:c r="C82" s="13" t="n">
        <x:v>40</x:v>
      </x:c>
      <x:c r="D82" s="13" t="n">
        <x:v>14</x:v>
      </x:c>
      <x:c r="E82" s="14" t="n">
        <x:v>4.51</x:v>
      </x:c>
      <x:c r="F82" s="13" t="n">
        <x:v>2</x:v>
      </x:c>
      <x:c r="G82" t="str">
        <x:v>https://shopmarketingpros.com/best-marketing-companies-for-an-auto-repair-shop/</x:v>
      </x:c>
      <x:c r="H82" t="str">
        <x:v>L, C</x:v>
      </x:c>
    </x:row>
    <x:row r="83">
      <x:c r="A83" t="str">
        <x:v>autoshopdigital.com</x:v>
      </x:c>
      <x:c r="B83" t="str">
        <x:v>auto repair seo service</x:v>
      </x:c>
      <x:c r="C83" s="13" t="n">
        <x:v>30</x:v>
      </x:c>
      <x:c r="D83" s="13" t="n">
        <x:v>12</x:v>
      </x:c>
      <x:c r="E83" s="14" t="n">
        <x:v>0</x:v>
      </x:c>
      <x:c r="F83" s="13" t="n">
        <x:v>71</x:v>
      </x:c>
      <x:c r="G83" t="str">
        <x:v>https://www.autoshopdigital.com/services/managed-local-seo</x:v>
      </x:c>
      <x:c r="H83" t="str">
        <x:v>L, C</x:v>
      </x:c>
    </x:row>
    <x:row r="84">
      <x:c r="A84" t="str">
        <x:v>autoshopsolutions.com</x:v>
      </x:c>
      <x:c r="B84" t="str">
        <x:v>auto repair seo service</x:v>
      </x:c>
      <x:c r="C84" s="13" t="n">
        <x:v>30</x:v>
      </x:c>
      <x:c r="D84" s="13" t="n">
        <x:v>12</x:v>
      </x:c>
      <x:c r="E84" s="14" t="n">
        <x:v>0</x:v>
      </x:c>
      <x:c r="F84" s="13" t="n">
        <x:v>5</x:v>
      </x:c>
      <x:c r="G84" t="str">
        <x:v>https://autoshopsolutions.com/rpm/seo/</x:v>
      </x:c>
      <x:c r="H84" t="str">
        <x:v>L, C</x:v>
      </x:c>
    </x:row>
    <x:row r="85">
      <x:c r="A85" t="str">
        <x:v>autoshopsolutions.com</x:v>
      </x:c>
      <x:c r="B85" t="str">
        <x:v>auto repair seo services</x:v>
      </x:c>
      <x:c r="C85" s="13" t="n">
        <x:v>30</x:v>
      </x:c>
      <x:c r="D85" s="13" t="n">
        <x:v>9</x:v>
      </x:c>
      <x:c r="E85" s="14" t="n">
        <x:v>0</x:v>
      </x:c>
      <x:c r="F85" s="13" t="n">
        <x:v>4</x:v>
      </x:c>
      <x:c r="G85" t="str">
        <x:v>https://autoshopsolutions.com/rpm/seo/</x:v>
      </x:c>
      <x:c r="H85" t="str">
        <x:v>L, C</x:v>
      </x:c>
    </x:row>
    <x:row r="86">
      <x:c r="A86" t="str">
        <x:v>elementdma.com</x:v>
      </x:c>
      <x:c r="B86" t="str">
        <x:v>what is the labor rate for auto repairs</x:v>
      </x:c>
      <x:c r="C86" s="13" t="n">
        <x:v>30</x:v>
      </x:c>
      <x:c r="D86" s="13" t="n">
        <x:v>32</x:v>
      </x:c>
      <x:c r="E86" s="14" t="n">
        <x:v>0</x:v>
      </x:c>
      <x:c r="F86" s="13" t="n">
        <x:v>63</x:v>
      </x:c>
      <x:c r="G86" t="str">
        <x:v>https://elementdma.com/tools/labor-rate-calculator/</x:v>
      </x:c>
      <x:c r="H86" t="str">
        <x:v>I</x:v>
      </x:c>
    </x:row>
    <x:row r="87">
      <x:c r="A87" t="str">
        <x:v>shopmarketingpros.com</x:v>
      </x:c>
      <x:c r="B87" t="str">
        <x:v>auto repair seo service</x:v>
      </x:c>
      <x:c r="C87" s="13" t="n">
        <x:v>30</x:v>
      </x:c>
      <x:c r="D87" s="13" t="n">
        <x:v>12</x:v>
      </x:c>
      <x:c r="E87" s="14" t="n">
        <x:v>0</x:v>
      </x:c>
      <x:c r="F87" s="13" t="n">
        <x:v>9</x:v>
      </x:c>
      <x:c r="G87" t="str">
        <x:v>https://shopmarketingpros.com/seo-for-auto-repair-shops/</x:v>
      </x:c>
      <x:c r="H87" t="str">
        <x:v>L, C</x:v>
      </x:c>
    </x:row>
    <x:row r="88">
      <x:c r="A88" t="str">
        <x:v>shopmarketingpros.com</x:v>
      </x:c>
      <x:c r="B88" t="str">
        <x:v>auto repair seo services</x:v>
      </x:c>
      <x:c r="C88" s="13" t="n">
        <x:v>30</x:v>
      </x:c>
      <x:c r="D88" s="13" t="n">
        <x:v>9</x:v>
      </x:c>
      <x:c r="E88" s="14" t="n">
        <x:v>0</x:v>
      </x:c>
      <x:c r="F88" s="13" t="n">
        <x:v>6</x:v>
      </x:c>
      <x:c r="G88" t="str">
        <x:v>https://shopmarketingpros.com/seo-for-auto-repair-shops/</x:v>
      </x:c>
      <x:c r="H88" t="str">
        <x:v>L, C</x:v>
      </x:c>
    </x:row>
    <x:row r="89">
      <x:c r="A89" t="str">
        <x:v>autoshopsolutions.com</x:v>
      </x:c>
      <x:c r="B89" t="str">
        <x:v>auto repair direct mail</x:v>
      </x:c>
      <x:c r="C89" s="13" t="n">
        <x:v>20</x:v>
      </x:c>
      <x:c r="D89" s="13" t="n">
        <x:v>5</x:v>
      </x:c>
      <x:c r="E89" s="14" t="n">
        <x:v>0</x:v>
      </x:c>
      <x:c r="F89" s="13" t="n">
        <x:v>1</x:v>
      </x:c>
      <x:c r="G89" t="str">
        <x:v>https://autoshopsolutions.com/10-tips-for-getting-the-most-out-of-your-direct-mail-marketing-campaign/#:~:text=There%20are%20two%20sides%20to,than%20one%20way%20to%20respond.</x:v>
      </x:c>
      <x:c r="H89" t="str">
        <x:v>L, C</x:v>
      </x:c>
    </x:row>
    <x:row r="90">
      <x:c r="A90" t="str">
        <x:v>autoshopsolutions.com</x:v>
      </x:c>
      <x:c r="B90" t="str">
        <x:v>direct mail auto repair</x:v>
      </x:c>
      <x:c r="C90" s="13" t="n">
        <x:v>20</x:v>
      </x:c>
      <x:c r="D90" s="13" t="n">
        <x:v>5</x:v>
      </x:c>
      <x:c r="E90" s="14" t="n">
        <x:v>0</x:v>
      </x:c>
      <x:c r="F90" s="13" t="n">
        <x:v>11</x:v>
      </x:c>
      <x:c r="G90" t="str">
        <x:v>https://autoshopsolutions.com/10-tips-for-getting-the-most-out-of-your-direct-mail-marketing-campaign/</x:v>
      </x:c>
      <x:c r="H90" t="str">
        <x:v>L, C</x:v>
      </x:c>
    </x:row>
    <x:row r="91">
      <x:c r="A91" t="str">
        <x:v>elementdma.com</x:v>
      </x:c>
      <x:c r="B91" t="str">
        <x:v>average hourly labor rate auto repair</x:v>
      </x:c>
      <x:c r="C91" s="13" t="n">
        <x:v>20</x:v>
      </x:c>
      <x:c r="D91" s="13" t="n">
        <x:v>24</x:v>
      </x:c>
      <x:c r="E91" s="14" t="n">
        <x:v>0</x:v>
      </x:c>
      <x:c r="F91" s="13" t="n">
        <x:v>44</x:v>
      </x:c>
      <x:c r="G91" t="str">
        <x:v>https://elementdma.com/tools/labor-rate-calculator/</x:v>
      </x:c>
      <x:c r="H91" t="str">
        <x:v>I</x:v>
      </x:c>
    </x:row>
    <x:row r="92">
      <x:c r="A92" t="str">
        <x:v>elementdma.com</x:v>
      </x:c>
      <x:c r="B92" t="str">
        <x:v>national average labor rate for auto repair</x:v>
      </x:c>
      <x:c r="C92" s="13" t="n">
        <x:v>20</x:v>
      </x:c>
      <x:c r="D92" s="13" t="n">
        <x:v>29</x:v>
      </x:c>
      <x:c r="E92" s="14" t="n">
        <x:v>0</x:v>
      </x:c>
      <x:c r="F92" s="13" t="n">
        <x:v>64</x:v>
      </x:c>
      <x:c r="G92" t="str">
        <x:v>https://elementdma.com/tools/labor-rate-calculator/</x:v>
      </x:c>
      <x:c r="H92" t="str">
        <x:v>I</x:v>
      </x:c>
    </x:row>
    <x:row r="93">
      <x:c r="A93" t="str">
        <x:v>kukui.com</x:v>
      </x:c>
      <x:c r="B93" t="str">
        <x:v>auto repair direct mail</x:v>
      </x:c>
      <x:c r="C93" s="13" t="n">
        <x:v>20</x:v>
      </x:c>
      <x:c r="D93" s="13" t="n">
        <x:v>5</x:v>
      </x:c>
      <x:c r="E93" s="14" t="n">
        <x:v>0</x:v>
      </x:c>
      <x:c r="F93" s="13" t="n">
        <x:v>19</x:v>
      </x:c>
      <x:c r="G93" t="str">
        <x:v>https://www.kukui.com/postcards</x:v>
      </x:c>
      <x:c r="H93" t="str">
        <x:v>L, C</x:v>
      </x:c>
    </x:row>
    <x:row r="94">
      <x:c r="A94" t="str">
        <x:v>kukui.com</x:v>
      </x:c>
      <x:c r="B94" t="str">
        <x:v>direct mail auto repair</x:v>
      </x:c>
      <x:c r="C94" s="13" t="n">
        <x:v>20</x:v>
      </x:c>
      <x:c r="D94" s="13" t="n">
        <x:v>5</x:v>
      </x:c>
      <x:c r="E94" s="14" t="n">
        <x:v>0</x:v>
      </x:c>
      <x:c r="F94" s="13" t="n">
        <x:v>23</x:v>
      </x:c>
      <x:c r="G94" t="str">
        <x:v>https://www.kukui.com/postcards</x:v>
      </x:c>
      <x:c r="H94" t="str">
        <x:v>L, C</x:v>
      </x:c>
    </x:row>
    <x:row r="95">
      <x:c r="A95" t="str">
        <x:v>autoshopdigital.com</x:v>
      </x:c>
      <x:c r="B95" t="str">
        <x:v>auto repair advertising signs</x:v>
      </x:c>
      <x:c r="C95" s="13" t="n">
        <x:v>10</x:v>
      </x:c>
      <x:c r="D95" s="13" t="n">
        <x:v>5</x:v>
      </x:c>
      <x:c r="E95" s="14" t="n">
        <x:v>0</x:v>
      </x:c>
      <x:c r="F95" s="13" t="n">
        <x:v>18</x:v>
      </x:c>
      <x:c r="G95" t="str">
        <x:v>https://www.autoshopdigital.com/auto-repair-shop-signage-why-you-need-one-for-your-marketing-strategy</x:v>
      </x:c>
      <x:c r="H95" t="str">
        <x:v>L, C</x:v>
      </x:c>
    </x:row>
    <x:row r="96">
      <x:c r="A96" t="str">
        <x:v>autoshopdigital.com</x:v>
      </x:c>
      <x:c r="B96" t="str">
        <x:v>marketing for auto repair shops</x:v>
      </x:c>
      <x:c r="C96" s="13" t="n">
        <x:v>10</x:v>
      </x:c>
      <x:c r="D96" s="13" t="n">
        <x:v>25</x:v>
      </x:c>
      <x:c r="E96" s="14" t="n">
        <x:v>8.57</x:v>
      </x:c>
      <x:c r="F96" s="13" t="n">
        <x:v>66</x:v>
      </x:c>
      <x:c r="G96" t="str">
        <x:v>https://www.autoshopdigital.com/blog/auto-repair-marketing-plan-guide/</x:v>
      </x:c>
      <x:c r="H96" t="str">
        <x:v>L, T</x:v>
      </x:c>
    </x:row>
    <x:row r="97">
      <x:c r="A97" t="str">
        <x:v>autoshopdigital.com</x:v>
      </x:c>
      <x:c r="B97" t="str">
        <x:v>yelp advertiser auto repair</x:v>
      </x:c>
      <x:c r="C97" s="13" t="n">
        <x:v>10</x:v>
      </x:c>
      <x:c r="D97" s="13" t="n">
        <x:v>7</x:v>
      </x:c>
      <x:c r="E97" s="14" t="n">
        <x:v>0</x:v>
      </x:c>
      <x:c r="F97" s="13" t="n">
        <x:v>11</x:v>
      </x:c>
      <x:c r="G97" t="str">
        <x:v>https://www.autoshopdigital.com/the-dangers-of-yelp-for-your-auto-shop-the-better-alternative</x:v>
      </x:c>
      <x:c r="H97" t="str">
        <x:v>I</x:v>
      </x:c>
    </x:row>
    <x:row r="98">
      <x:c r="A98" t="str">
        <x:v>autoshopdigital.com</x:v>
      </x:c>
      <x:c r="B98" t="str">
        <x:v>auto repair marketing tips</x:v>
      </x:c>
      <x:c r="C98" s="13" t="n">
        <x:v>10</x:v>
      </x:c>
      <x:c r="D98" s="13" t="n">
        <x:v>17</x:v>
      </x:c>
      <x:c r="E98" s="14" t="n">
        <x:v>0</x:v>
      </x:c>
      <x:c r="F98" s="13" t="n">
        <x:v>38</x:v>
      </x:c>
      <x:c r="G98" t="str">
        <x:v>https://www.autoshopdigital.com/how-video-marketing-strategies-can-benefit-auto-shops</x:v>
      </x:c>
      <x:c r="H98" t="str">
        <x:v>I</x:v>
      </x:c>
    </x:row>
    <x:row r="99">
      <x:c r="A99" t="str">
        <x:v>autoshopdigital.com</x:v>
      </x:c>
      <x:c r="B99" t="str">
        <x:v>auto repair shop online marketing</x:v>
      </x:c>
      <x:c r="C99" s="13" t="n">
        <x:v>10</x:v>
      </x:c>
      <x:c r="D99" s="13" t="n">
        <x:v>11</x:v>
      </x:c>
      <x:c r="E99" s="14" t="n">
        <x:v>0</x:v>
      </x:c>
      <x:c r="F99" s="13" t="n">
        <x:v>1</x:v>
      </x:c>
      <x:c r="G99" t="str">
        <x:v>https://www.autoshopdigital.com/#:~:text=Managed%20SEO%20Service,shop%27s%20business%20via%20automotive%20SEO.</x:v>
      </x:c>
      <x:c r="H99" t="str">
        <x:v>L, T</x:v>
      </x:c>
    </x:row>
    <x:row r="100">
      <x:c r="A100" t="str">
        <x:v>autoshopdigital.com</x:v>
      </x:c>
      <x:c r="B100" t="str">
        <x:v>auto repair social media marketing</x:v>
      </x:c>
      <x:c r="C100" s="13" t="n">
        <x:v>10</x:v>
      </x:c>
      <x:c r="D100" s="13" t="n">
        <x:v>6</x:v>
      </x:c>
      <x:c r="E100" s="14" t="n">
        <x:v>0</x:v>
      </x:c>
      <x:c r="F100" s="13" t="n">
        <x:v>20</x:v>
      </x:c>
      <x:c r="G100" t="str">
        <x:v>https://www.autoshopdigital.com/automotive-digital-marketing-strategy</x:v>
      </x:c>
      <x:c r="H100" t="str">
        <x:v>L, C</x:v>
      </x:c>
    </x:row>
    <x:row r="101">
      <x:c r="A101" t="str">
        <x:v>autoshopdigital.com</x:v>
      </x:c>
      <x:c r="B101" t="str">
        <x:v>auto repair lead generation agency</x:v>
      </x:c>
      <x:c r="C101" s="13" t="n">
        <x:v>10</x:v>
      </x:c>
      <x:c r="D101" s="13" t="n">
        <x:v>12</x:v>
      </x:c>
      <x:c r="E101" s="14" t="n">
        <x:v>0</x:v>
      </x:c>
      <x:c r="F101" s="13" t="n">
        <x:v>25</x:v>
      </x:c>
      <x:c r="G101" t="str">
        <x:v>https://www.autoshopdigital.com/what-advertising-channels-should-your-auto-shop-use</x:v>
      </x:c>
      <x:c r="H101" t="str">
        <x:v>L, C</x:v>
      </x:c>
    </x:row>
    <x:row r="102">
      <x:c r="A102" t="str">
        <x:v>autoshopdigital.com</x:v>
      </x:c>
      <x:c r="B102" t="str">
        <x:v>auto repair b2b lead generation</x:v>
      </x:c>
      <x:c r="C102" s="13" t="n">
        <x:v>10</x:v>
      </x:c>
      <x:c r="D102" s="13" t="n">
        <x:v>12</x:v>
      </x:c>
      <x:c r="E102" s="14" t="n">
        <x:v>0</x:v>
      </x:c>
      <x:c r="F102" s="13" t="n">
        <x:v>53</x:v>
      </x:c>
      <x:c r="G102" t="str">
        <x:v>https://www.autoshopdigital.com/what-advertising-channels-should-your-auto-shop-use</x:v>
      </x:c>
      <x:c r="H102" t="str">
        <x:v>I</x:v>
      </x:c>
    </x:row>
    <x:row r="103">
      <x:c r="A103" t="str">
        <x:v>autoshopdigital.com</x:v>
      </x:c>
      <x:c r="B103" t="str">
        <x:v>marketing an auto repair shop</x:v>
      </x:c>
      <x:c r="C103" s="13" t="n">
        <x:v>10</x:v>
      </x:c>
      <x:c r="D103" s="13" t="n">
        <x:v>24</x:v>
      </x:c>
      <x:c r="E103" s="14" t="n">
        <x:v>8.57</x:v>
      </x:c>
      <x:c r="F103" s="13" t="n">
        <x:v>75</x:v>
      </x:c>
      <x:c r="G103" t="str">
        <x:v>https://www.autoshopdigital.com/blog/auto-repair-marketing-plan-guide/</x:v>
      </x:c>
      <x:c r="H103" t="str">
        <x:v>I</x:v>
      </x:c>
    </x:row>
    <x:row r="104">
      <x:c r="A104" t="str">
        <x:v>autoshopdigital.com</x:v>
      </x:c>
      <x:c r="B104" t="str">
        <x:v>auto repair shop social media marketing</x:v>
      </x:c>
      <x:c r="C104" s="13" t="n">
        <x:v>10</x:v>
      </x:c>
      <x:c r="D104" s="13" t="n">
        <x:v>6</x:v>
      </x:c>
      <x:c r="E104" s="14" t="n">
        <x:v>0</x:v>
      </x:c>
      <x:c r="F104" s="13" t="n">
        <x:v>54</x:v>
      </x:c>
      <x:c r="G104" t="str">
        <x:v>https://www.autoshopdigital.com/how-video-marketing-strategies-can-benefit-auto-shops</x:v>
      </x:c>
      <x:c r="H104" t="str">
        <x:v>L, T</x:v>
      </x:c>
    </x:row>
    <x:row r="105">
      <x:c r="A105" t="str">
        <x:v>autoshopdigital.com</x:v>
      </x:c>
      <x:c r="B105" t="str">
        <x:v>seo services for auto repair</x:v>
      </x:c>
      <x:c r="C105" s="13" t="n">
        <x:v>10</x:v>
      </x:c>
      <x:c r="D105" s="13" t="n">
        <x:v>12</x:v>
      </x:c>
      <x:c r="E105" s="14" t="n">
        <x:v>0</x:v>
      </x:c>
      <x:c r="F105" s="13" t="n">
        <x:v>2</x:v>
      </x:c>
      <x:c r="G105" t="str">
        <x:v>https://www.autoshopdigital.com/auto-repair-seo-service</x:v>
      </x:c>
      <x:c r="H105" t="str">
        <x:v>I</x:v>
      </x:c>
    </x:row>
    <x:row r="106">
      <x:c r="A106" t="str">
        <x:v>autoshopdigital.com</x:v>
      </x:c>
      <x:c r="B106" t="str">
        <x:v>auto repair seo experts</x:v>
      </x:c>
      <x:c r="C106" s="13" t="n">
        <x:v>10</x:v>
      </x:c>
      <x:c r="D106" s="13" t="n">
        <x:v>10</x:v>
      </x:c>
      <x:c r="E106" s="14" t="n">
        <x:v>0</x:v>
      </x:c>
      <x:c r="F106" s="13" t="n">
        <x:v>6</x:v>
      </x:c>
      <x:c r="G106" t="str">
        <x:v>https://www.autoshopdigital.com/auto-repair-seo-service</x:v>
      </x:c>
      <x:c r="H106" t="str">
        <x:v>L, C</x:v>
      </x:c>
    </x:row>
    <x:row r="107">
      <x:c r="A107" t="str">
        <x:v>autoshopdigital.com</x:v>
      </x:c>
      <x:c r="B107" t="str">
        <x:v>seo for european auto repair</x:v>
      </x:c>
      <x:c r="C107" s="13" t="n">
        <x:v>10</x:v>
      </x:c>
      <x:c r="D107" s="13" t="n">
        <x:v>4</x:v>
      </x:c>
      <x:c r="E107" s="14" t="n">
        <x:v>0</x:v>
      </x:c>
      <x:c r="F107" s="13" t="n">
        <x:v>11</x:v>
      </x:c>
      <x:c r="G107" t="str">
        <x:v>https://www.autoshopdigital.com/auto-repair-seo-experts-guide</x:v>
      </x:c>
      <x:c r="H107" t="str">
        <x:v>L, C</x:v>
      </x:c>
    </x:row>
    <x:row r="108">
      <x:c r="A108" t="str">
        <x:v>autoshopdigital.com</x:v>
      </x:c>
      <x:c r="B108" t="str">
        <x:v>auto repair digital marketing agency</x:v>
      </x:c>
      <x:c r="C108" s="13" t="n">
        <x:v>10</x:v>
      </x:c>
      <x:c r="D108" s="13" t="n">
        <x:v>19</x:v>
      </x:c>
      <x:c r="E108" s="14" t="n">
        <x:v>0</x:v>
      </x:c>
      <x:c r="F108" s="13" t="n">
        <x:v>21</x:v>
      </x:c>
      <x:c r="G108" t="str">
        <x:v>https://www.autoshopdigital.com/</x:v>
      </x:c>
      <x:c r="H108" t="str">
        <x:v>L, C</x:v>
      </x:c>
    </x:row>
    <x:row r="109">
      <x:c r="A109" t="str">
        <x:v>autoshopdigital.com</x:v>
      </x:c>
      <x:c r="B109" t="str">
        <x:v>auto repair shop digital marketing</x:v>
      </x:c>
      <x:c r="C109" s="13" t="n">
        <x:v>10</x:v>
      </x:c>
      <x:c r="D109" s="13" t="n">
        <x:v>28</x:v>
      </x:c>
      <x:c r="E109" s="14" t="n">
        <x:v>0</x:v>
      </x:c>
      <x:c r="F109" s="13" t="n">
        <x:v>36</x:v>
      </x:c>
      <x:c r="G109" t="str">
        <x:v>https://www.autoshopdigital.com/</x:v>
      </x:c>
      <x:c r="H109" t="str">
        <x:v>L, T</x:v>
      </x:c>
    </x:row>
    <x:row r="110">
      <x:c r="A110" t="str">
        <x:v>autoshopsolutions.com</x:v>
      </x:c>
      <x:c r="B110" t="str">
        <x:v>auto repair marketing</x:v>
      </x:c>
      <x:c r="C110" s="13" t="n">
        <x:v>10</x:v>
      </x:c>
      <x:c r="D110" s="13" t="n">
        <x:v>35</x:v>
      </x:c>
      <x:c r="E110" s="14" t="n">
        <x:v>8.57</x:v>
      </x:c>
      <x:c r="F110" s="13" t="n">
        <x:v>1</x:v>
      </x:c>
      <x:c r="G110" t="str">
        <x:v>https://autoshopsolutions.com/getting-new-customers-into-your-auto-shop/</x:v>
      </x:c>
      <x:c r="H110" t="str">
        <x:v>L, C</x:v>
      </x:c>
    </x:row>
    <x:row r="111">
      <x:c r="A111" t="str">
        <x:v>autoshopsolutions.com</x:v>
      </x:c>
      <x:c r="B111" t="str">
        <x:v>marketing for auto repair</x:v>
      </x:c>
      <x:c r="C111" s="13" t="n">
        <x:v>10</x:v>
      </x:c>
      <x:c r="D111" s="13" t="n">
        <x:v>13</x:v>
      </x:c>
      <x:c r="E111" s="14" t="n">
        <x:v>8.57</x:v>
      </x:c>
      <x:c r="F111" s="13" t="n">
        <x:v>1</x:v>
      </x:c>
      <x:c r="G111" t="str">
        <x:v>https://autoshopsolutions.com/industries/auto-repair/</x:v>
      </x:c>
      <x:c r="H111" t="str">
        <x:v>I</x:v>
      </x:c>
    </x:row>
    <x:row r="112">
      <x:c r="A112" t="str">
        <x:v>autoshopsolutions.com</x:v>
      </x:c>
      <x:c r="B112" t="str">
        <x:v>marketing for auto repair shops</x:v>
      </x:c>
      <x:c r="C112" s="13" t="n">
        <x:v>10</x:v>
      </x:c>
      <x:c r="D112" s="13" t="n">
        <x:v>25</x:v>
      </x:c>
      <x:c r="E112" s="14" t="n">
        <x:v>8.57</x:v>
      </x:c>
      <x:c r="F112" s="13" t="n">
        <x:v>1</x:v>
      </x:c>
      <x:c r="G112" t="str">
        <x:v>https://autoshopsolutions.com/industries/auto-repair/</x:v>
      </x:c>
      <x:c r="H112" t="str">
        <x:v>L, T</x:v>
      </x:c>
    </x:row>
    <x:row r="113">
      <x:c r="A113" t="str">
        <x:v>autoshopsolutions.com</x:v>
      </x:c>
      <x:c r="B113" t="str">
        <x:v>auto repair direct mail marketing</x:v>
      </x:c>
      <x:c r="C113" s="13" t="n">
        <x:v>10</x:v>
      </x:c>
      <x:c r="D113" s="13" t="n">
        <x:v>5</x:v>
      </x:c>
      <x:c r="E113" s="14" t="n">
        <x:v>0</x:v>
      </x:c>
      <x:c r="F113" s="13" t="n">
        <x:v>1</x:v>
      </x:c>
      <x:c r="G113" t="str">
        <x:v>https://autoshopsolutions.com/10-tips-for-getting-the-most-out-of-your-direct-mail-marketing-campaign/#:~:text=Autoshop%20Mail%20gives%20your%20potential,card%20in%20to%20your%20shop.</x:v>
      </x:c>
      <x:c r="H113" t="str">
        <x:v>I</x:v>
      </x:c>
    </x:row>
    <x:row r="114">
      <x:c r="A114" t="str">
        <x:v>autoshopsolutions.com</x:v>
      </x:c>
      <x:c r="B114" t="str">
        <x:v>auto repair shops marketing</x:v>
      </x:c>
      <x:c r="C114" s="13" t="n">
        <x:v>10</x:v>
      </x:c>
      <x:c r="D114" s="13" t="n">
        <x:v>21</x:v>
      </x:c>
      <x:c r="E114" s="14" t="n">
        <x:v>8.57</x:v>
      </x:c>
      <x:c r="F114" s="13" t="n">
        <x:v>2</x:v>
      </x:c>
      <x:c r="G114" t="str">
        <x:v>https://autoshopsolutions.com/industries/auto-repair/</x:v>
      </x:c>
      <x:c r="H114" t="str">
        <x:v>L, T</x:v>
      </x:c>
    </x:row>
    <x:row r="115">
      <x:c r="A115" t="str">
        <x:v>autoshopsolutions.com</x:v>
      </x:c>
      <x:c r="B115" t="str">
        <x:v>auto repair marketing atlanta</x:v>
      </x:c>
      <x:c r="C115" s="13" t="n">
        <x:v>10</x:v>
      </x:c>
      <x:c r="D115" s="13" t="n">
        <x:v>18</x:v>
      </x:c>
      <x:c r="E115" s="14" t="n">
        <x:v>0</x:v>
      </x:c>
      <x:c r="F115" s="13" t="n">
        <x:v>1</x:v>
      </x:c>
      <x:c r="G115" t="str">
        <x:v>https://autoshopsolutions.com/</x:v>
      </x:c>
      <x:c r="H115" t="str">
        <x:v>L, C</x:v>
      </x:c>
    </x:row>
    <x:row r="116">
      <x:c r="A116" t="str">
        <x:v>autoshopsolutions.com</x:v>
      </x:c>
      <x:c r="B116" t="str">
        <x:v>auto repair marketing tips</x:v>
      </x:c>
      <x:c r="C116" s="13" t="n">
        <x:v>10</x:v>
      </x:c>
      <x:c r="D116" s="13" t="n">
        <x:v>17</x:v>
      </x:c>
      <x:c r="E116" s="14" t="n">
        <x:v>0</x:v>
      </x:c>
      <x:c r="F116" s="13" t="n">
        <x:v>71</x:v>
      </x:c>
      <x:c r="G116" t="str">
        <x:v>https://autoshopsolutions.com/industries/auto-repair/</x:v>
      </x:c>
      <x:c r="H116" t="str">
        <x:v>I</x:v>
      </x:c>
    </x:row>
    <x:row r="117">
      <x:c r="A117" t="str">
        <x:v>autoshopsolutions.com</x:v>
      </x:c>
      <x:c r="B117" t="str">
        <x:v>auto repair shop online marketing</x:v>
      </x:c>
      <x:c r="C117" s="13" t="n">
        <x:v>10</x:v>
      </x:c>
      <x:c r="D117" s="13" t="n">
        <x:v>11</x:v>
      </x:c>
      <x:c r="E117" s="14" t="n">
        <x:v>0</x:v>
      </x:c>
      <x:c r="F117" s="13" t="n">
        <x:v>1</x:v>
      </x:c>
      <x:c r="G117" t="str">
        <x:v>https://autoshopsolutions.com/industries/auto-repair/#:~:text=Our%20award%2Dwinning%20marketing%20services,comes%20up%20in%20top%20results!</x:v>
      </x:c>
      <x:c r="H117" t="str">
        <x:v>L, T</x:v>
      </x:c>
    </x:row>
    <x:row r="118">
      <x:c r="A118" t="str">
        <x:v>autoshopsolutions.com</x:v>
      </x:c>
      <x:c r="B118" t="str">
        <x:v>auto repair social media marketing</x:v>
      </x:c>
      <x:c r="C118" s="13" t="n">
        <x:v>10</x:v>
      </x:c>
      <x:c r="D118" s="13" t="n">
        <x:v>6</x:v>
      </x:c>
      <x:c r="E118" s="14" t="n">
        <x:v>0</x:v>
      </x:c>
      <x:c r="F118" s="13" t="n">
        <x:v>4</x:v>
      </x:c>
      <x:c r="G118" t="str">
        <x:v>https://autoshopsolutions.com/rpm/social-media/</x:v>
      </x:c>
      <x:c r="H118" t="str">
        <x:v>L, C</x:v>
      </x:c>
    </x:row>
    <x:row r="119">
      <x:c r="A119" t="str">
        <x:v>autoshopsolutions.com</x:v>
      </x:c>
      <x:c r="B119" t="str">
        <x:v>auto repair lead generation agency</x:v>
      </x:c>
      <x:c r="C119" s="13" t="n">
        <x:v>10</x:v>
      </x:c>
      <x:c r="D119" s="13" t="n">
        <x:v>12</x:v>
      </x:c>
      <x:c r="E119" s="14" t="n">
        <x:v>0</x:v>
      </x:c>
      <x:c r="F119" s="13" t="n">
        <x:v>16</x:v>
      </x:c>
      <x:c r="G119" t="str">
        <x:v>https://autoshopsolutions.com/industries/auto-repair/</x:v>
      </x:c>
      <x:c r="H119" t="str">
        <x:v>L, C</x:v>
      </x:c>
    </x:row>
    <x:row r="120">
      <x:c r="A120" t="str">
        <x:v>autoshopsolutions.com</x:v>
      </x:c>
      <x:c r="B120" t="str">
        <x:v>marketing an auto repair shop</x:v>
      </x:c>
      <x:c r="C120" s="13" t="n">
        <x:v>10</x:v>
      </x:c>
      <x:c r="D120" s="13" t="n">
        <x:v>24</x:v>
      </x:c>
      <x:c r="E120" s="14" t="n">
        <x:v>8.57</x:v>
      </x:c>
      <x:c r="F120" s="13" t="n">
        <x:v>2</x:v>
      </x:c>
      <x:c r="G120" t="str">
        <x:v>https://autoshopsolutions.com/industries/auto-repair/</x:v>
      </x:c>
      <x:c r="H120" t="str">
        <x:v>I</x:v>
      </x:c>
    </x:row>
    <x:row r="121">
      <x:c r="A121" t="str">
        <x:v>autoshopsolutions.com</x:v>
      </x:c>
      <x:c r="B121" t="str">
        <x:v>auto repair shop social media marketing</x:v>
      </x:c>
      <x:c r="C121" s="13" t="n">
        <x:v>10</x:v>
      </x:c>
      <x:c r="D121" s="13" t="n">
        <x:v>6</x:v>
      </x:c>
      <x:c r="E121" s="14" t="n">
        <x:v>0</x:v>
      </x:c>
      <x:c r="F121" s="13" t="n">
        <x:v>1</x:v>
      </x:c>
      <x:c r="G121" t="str">
        <x:v>https://autoshopsolutions.com/rpm/social-media/#:~:text=WHY%20AUTO%20SHOPS%20NEED%20SOCIAL,decisions%20to%20visit%20your%20business.</x:v>
      </x:c>
      <x:c r="H121" t="str">
        <x:v>L, T</x:v>
      </x:c>
    </x:row>
    <x:row r="122">
      <x:c r="A122" t="str">
        <x:v>autoshopsolutions.com</x:v>
      </x:c>
      <x:c r="B122" t="str">
        <x:v>seo services for auto repair</x:v>
      </x:c>
      <x:c r="C122" s="13" t="n">
        <x:v>10</x:v>
      </x:c>
      <x:c r="D122" s="13" t="n">
        <x:v>12</x:v>
      </x:c>
      <x:c r="E122" s="14" t="n">
        <x:v>0</x:v>
      </x:c>
      <x:c r="F122" s="13" t="n">
        <x:v>37</x:v>
      </x:c>
      <x:c r="G122" t="str">
        <x:v>https://autoshopsolutions.com/does-your-auto-shop-need-seo-services/</x:v>
      </x:c>
      <x:c r="H122" t="str">
        <x:v>I</x:v>
      </x:c>
    </x:row>
    <x:row r="123">
      <x:c r="A123" t="str">
        <x:v>autoshopsolutions.com</x:v>
      </x:c>
      <x:c r="B123" t="str">
        <x:v>auto repair seo experts</x:v>
      </x:c>
      <x:c r="C123" s="13" t="n">
        <x:v>10</x:v>
      </x:c>
      <x:c r="D123" s="13" t="n">
        <x:v>10</x:v>
      </x:c>
      <x:c r="E123" s="14" t="n">
        <x:v>0</x:v>
      </x:c>
      <x:c r="F123" s="13" t="n">
        <x:v>11</x:v>
      </x:c>
      <x:c r="G123" t="str">
        <x:v>https://autoshopsolutions.com/rpm/seo/</x:v>
      </x:c>
      <x:c r="H123" t="str">
        <x:v>L, C</x:v>
      </x:c>
    </x:row>
    <x:row r="124">
      <x:c r="A124" t="str">
        <x:v>autoshopsolutions.com</x:v>
      </x:c>
      <x:c r="B124" t="str">
        <x:v>seo for german auto repair</x:v>
      </x:c>
      <x:c r="C124" s="13" t="n">
        <x:v>10</x:v>
      </x:c>
      <x:c r="D124" s="13" t="n">
        <x:v>5</x:v>
      </x:c>
      <x:c r="E124" s="14" t="n">
        <x:v>0</x:v>
      </x:c>
      <x:c r="F124" s="13" t="n">
        <x:v>63</x:v>
      </x:c>
      <x:c r="G124" t="str">
        <x:v>https://autoshopsolutions.com/how-blogs-help-your-auto-repair-shop-marketing/</x:v>
      </x:c>
      <x:c r="H124" t="str">
        <x:v>L, C</x:v>
      </x:c>
    </x:row>
    <x:row r="125">
      <x:c r="A125" t="str">
        <x:v>autoshopsolutions.com</x:v>
      </x:c>
      <x:c r="B125" t="str">
        <x:v>auto repair digital marketing agency</x:v>
      </x:c>
      <x:c r="C125" s="13" t="n">
        <x:v>10</x:v>
      </x:c>
      <x:c r="D125" s="13" t="n">
        <x:v>19</x:v>
      </x:c>
      <x:c r="E125" s="14" t="n">
        <x:v>0</x:v>
      </x:c>
      <x:c r="F125" s="13" t="n">
        <x:v>1</x:v>
      </x:c>
      <x:c r="G125" t="str">
        <x:v>https://autoshopsolutions.com/industries/auto-repair/</x:v>
      </x:c>
      <x:c r="H125" t="str">
        <x:v>L, C</x:v>
      </x:c>
    </x:row>
    <x:row r="126">
      <x:c r="A126" t="str">
        <x:v>autoshopsolutions.com</x:v>
      </x:c>
      <x:c r="B126" t="str">
        <x:v>direct mail for auto repair shops</x:v>
      </x:c>
      <x:c r="C126" s="13" t="n">
        <x:v>10</x:v>
      </x:c>
      <x:c r="D126" s="13" t="n">
        <x:v>5</x:v>
      </x:c>
      <x:c r="E126" s="14" t="n">
        <x:v>0</x:v>
      </x:c>
      <x:c r="F126" s="13" t="n">
        <x:v>5</x:v>
      </x:c>
      <x:c r="G126" t="str">
        <x:v>https://autoshopsolutions.com/10-tips-for-getting-the-most-out-of-your-direct-mail-marketing-campaign/</x:v>
      </x:c>
      <x:c r="H126" t="str">
        <x:v>L, T</x:v>
      </x:c>
    </x:row>
    <x:row r="127">
      <x:c r="A127" t="str">
        <x:v>autoshopsolutions.com</x:v>
      </x:c>
      <x:c r="B127" t="str">
        <x:v>european auto repair seo</x:v>
      </x:c>
      <x:c r="C127" s="13" t="n">
        <x:v>10</x:v>
      </x:c>
      <x:c r="D127" s="13" t="n">
        <x:v>4</x:v>
      </x:c>
      <x:c r="E127" s="14" t="n">
        <x:v>0</x:v>
      </x:c>
      <x:c r="F127" s="13" t="n">
        <x:v>51</x:v>
      </x:c>
      <x:c r="G127" t="str">
        <x:v>https://autoshopsolutions.com/rpm/seo/</x:v>
      </x:c>
      <x:c r="H127" t="str">
        <x:v>L, C</x:v>
      </x:c>
    </x:row>
    <x:row r="128">
      <x:c r="A128" t="str">
        <x:v>autoshopsolutions.com</x:v>
      </x:c>
      <x:c r="B128" t="str">
        <x:v>auto repair shop email marketing</x:v>
      </x:c>
      <x:c r="C128" s="13" t="n">
        <x:v>10</x:v>
      </x:c>
      <x:c r="D128" s="13" t="n">
        <x:v>11</x:v>
      </x:c>
      <x:c r="E128" s="14" t="n">
        <x:v>0</x:v>
      </x:c>
      <x:c r="F128" s="13" t="n">
        <x:v>35</x:v>
      </x:c>
      <x:c r="G128" t="str">
        <x:v>https://autoshopsolutions.com/industries/auto-repair/</x:v>
      </x:c>
      <x:c r="H128" t="str">
        <x:v>L, T</x:v>
      </x:c>
    </x:row>
    <x:row r="129">
      <x:c r="A129" t="str">
        <x:v>autoshopsolutions.com</x:v>
      </x:c>
      <x:c r="B129" t="str">
        <x:v>auto repair lead generation services</x:v>
      </x:c>
      <x:c r="C129" s="13" t="n">
        <x:v>10</x:v>
      </x:c>
      <x:c r="D129" s="13" t="n">
        <x:v>12</x:v>
      </x:c>
      <x:c r="E129" s="14" t="n">
        <x:v>0</x:v>
      </x:c>
      <x:c r="F129" s="13" t="n">
        <x:v>72</x:v>
      </x:c>
      <x:c r="G129" t="str">
        <x:v>https://autoshopsolutions.com/partners/</x:v>
      </x:c>
      <x:c r="H129" t="str">
        <x:v>L, C</x:v>
      </x:c>
    </x:row>
    <x:row r="130">
      <x:c r="A130" t="str">
        <x:v>autoshopsolutions.com</x:v>
      </x:c>
      <x:c r="B130" t="str">
        <x:v>auto repair shop digital marketing</x:v>
      </x:c>
      <x:c r="C130" s="13" t="n">
        <x:v>10</x:v>
      </x:c>
      <x:c r="D130" s="13" t="n">
        <x:v>28</x:v>
      </x:c>
      <x:c r="E130" s="14" t="n">
        <x:v>0</x:v>
      </x:c>
      <x:c r="F130" s="13" t="n">
        <x:v>1</x:v>
      </x:c>
      <x:c r="G130" t="str">
        <x:v>https://autoshopsolutions.com/industries/auto-repair/</x:v>
      </x:c>
      <x:c r="H130" t="str">
        <x:v>L, T</x:v>
      </x:c>
    </x:row>
    <x:row r="131">
      <x:c r="A131" t="str">
        <x:v>elementdma.com</x:v>
      </x:c>
      <x:c r="B131" t="str">
        <x:v>auto repair labor rates by state</x:v>
      </x:c>
      <x:c r="C131" s="13" t="n">
        <x:v>10</x:v>
      </x:c>
      <x:c r="D131" s="13" t="n">
        <x:v>25</x:v>
      </x:c>
      <x:c r="E131" s="14" t="n">
        <x:v>0</x:v>
      </x:c>
      <x:c r="F131" s="13" t="n">
        <x:v>62</x:v>
      </x:c>
      <x:c r="G131" t="str">
        <x:v>https://elementdma.com/tools/labor-rate-calculator/</x:v>
      </x:c>
      <x:c r="H131" t="str">
        <x:v>I</x:v>
      </x:c>
    </x:row>
    <x:row r="132">
      <x:c r="A132" t="str">
        <x:v>elementdma.com</x:v>
      </x:c>
      <x:c r="B132" t="str">
        <x:v>auto repair labor rates database</x:v>
      </x:c>
      <x:c r="C132" s="13" t="n">
        <x:v>10</x:v>
      </x:c>
      <x:c r="D132" s="13" t="n">
        <x:v>20</x:v>
      </x:c>
      <x:c r="E132" s="14" t="n">
        <x:v>0</x:v>
      </x:c>
      <x:c r="F132" s="13" t="n">
        <x:v>46</x:v>
      </x:c>
      <x:c r="G132" t="str">
        <x:v>https://elementdma.com/tools/labor-rate-calculator/</x:v>
      </x:c>
      <x:c r="H132" t="str">
        <x:v>I</x:v>
      </x:c>
    </x:row>
    <x:row r="133">
      <x:c r="A133" t="str">
        <x:v>elementdma.com</x:v>
      </x:c>
      <x:c r="B133" t="str">
        <x:v>auto repair marketing</x:v>
      </x:c>
      <x:c r="C133" s="13" t="n">
        <x:v>10</x:v>
      </x:c>
      <x:c r="D133" s="13" t="n">
        <x:v>35</x:v>
      </x:c>
      <x:c r="E133" s="14" t="n">
        <x:v>8.57</x:v>
      </x:c>
      <x:c r="F133" s="13" t="n">
        <x:v>34</x:v>
      </x:c>
      <x:c r="G133" t="str">
        <x:v>https://elementdma.com/best-auto-repair-shop-marketing-ideas/</x:v>
      </x:c>
      <x:c r="H133" t="str">
        <x:v>L, C</x:v>
      </x:c>
    </x:row>
    <x:row r="134">
      <x:c r="A134" t="str">
        <x:v>elementdma.com</x:v>
      </x:c>
      <x:c r="B134" t="str">
        <x:v>auto repair labor rate per hour</x:v>
      </x:c>
      <x:c r="C134" s="13" t="n">
        <x:v>10</x:v>
      </x:c>
      <x:c r="D134" s="13" t="n">
        <x:v>24</x:v>
      </x:c>
      <x:c r="E134" s="14" t="n">
        <x:v>0</x:v>
      </x:c>
      <x:c r="F134" s="13" t="n">
        <x:v>45</x:v>
      </x:c>
      <x:c r="G134" t="str">
        <x:v>https://elementdma.com/tools/labor-rate-calculator/</x:v>
      </x:c>
      <x:c r="H134" t="str">
        <x:v>I</x:v>
      </x:c>
    </x:row>
    <x:row r="135">
      <x:c r="A135" t="str">
        <x:v>elementdma.com</x:v>
      </x:c>
      <x:c r="B135" t="str">
        <x:v>marketing for auto repair shops</x:v>
      </x:c>
      <x:c r="C135" s="13" t="n">
        <x:v>10</x:v>
      </x:c>
      <x:c r="D135" s="13" t="n">
        <x:v>25</x:v>
      </x:c>
      <x:c r="E135" s="14" t="n">
        <x:v>8.57</x:v>
      </x:c>
      <x:c r="F135" s="13" t="n">
        <x:v>40</x:v>
      </x:c>
      <x:c r="G135" t="str">
        <x:v>https://elementdma.com/best-auto-repair-shop-marketing-ideas/</x:v>
      </x:c>
      <x:c r="H135" t="str">
        <x:v>L, T</x:v>
      </x:c>
    </x:row>
    <x:row r="136">
      <x:c r="A136" t="str">
        <x:v>elementdma.com</x:v>
      </x:c>
      <x:c r="B136" t="str">
        <x:v>auto repair labor rate guide</x:v>
      </x:c>
      <x:c r="C136" s="13" t="n">
        <x:v>10</x:v>
      </x:c>
      <x:c r="D136" s="13" t="n">
        <x:v>28</x:v>
      </x:c>
      <x:c r="E136" s="14" t="n">
        <x:v>0</x:v>
      </x:c>
      <x:c r="F136" s="13" t="n">
        <x:v>58</x:v>
      </x:c>
      <x:c r="G136" t="str">
        <x:v>https://elementdma.com/tools/labor-rate-calculator/</x:v>
      </x:c>
      <x:c r="H136" t="str">
        <x:v>I</x:v>
      </x:c>
    </x:row>
    <x:row r="137">
      <x:c r="A137" t="str">
        <x:v>elementdma.com</x:v>
      </x:c>
      <x:c r="B137" t="str">
        <x:v>auto repair labor rates calculator</x:v>
      </x:c>
      <x:c r="C137" s="13" t="n">
        <x:v>10</x:v>
      </x:c>
      <x:c r="D137" s="13" t="n">
        <x:v>40</x:v>
      </x:c>
      <x:c r="E137" s="14" t="n">
        <x:v>0</x:v>
      </x:c>
      <x:c r="F137" s="13" t="n">
        <x:v>24</x:v>
      </x:c>
      <x:c r="G137" t="str">
        <x:v>https://elementdma.com/tools/labor-rate-calculator/</x:v>
      </x:c>
      <x:c r="H137" t="str">
        <x:v>I</x:v>
      </x:c>
    </x:row>
    <x:row r="138">
      <x:c r="A138" t="str">
        <x:v>elementdma.com</x:v>
      </x:c>
      <x:c r="B138" t="str">
        <x:v>free auto repair labor rate guide</x:v>
      </x:c>
      <x:c r="C138" s="13" t="n">
        <x:v>10</x:v>
      </x:c>
      <x:c r="D138" s="13" t="n">
        <x:v>28</x:v>
      </x:c>
      <x:c r="E138" s="14" t="n">
        <x:v>0</x:v>
      </x:c>
      <x:c r="F138" s="13" t="n">
        <x:v>56</x:v>
      </x:c>
      <x:c r="G138" t="str">
        <x:v>https://elementdma.com/tools/labor-rate-calculator/</x:v>
      </x:c>
      <x:c r="H138" t="str">
        <x:v>I</x:v>
      </x:c>
    </x:row>
    <x:row r="139">
      <x:c r="A139" t="str">
        <x:v>elementdma.com</x:v>
      </x:c>
      <x:c r="B139" t="str">
        <x:v>standard labor rates for auto repairs</x:v>
      </x:c>
      <x:c r="C139" s="13" t="n">
        <x:v>10</x:v>
      </x:c>
      <x:c r="D139" s="13" t="n">
        <x:v>20</x:v>
      </x:c>
      <x:c r="E139" s="14" t="n">
        <x:v>0</x:v>
      </x:c>
      <x:c r="F139" s="13" t="n">
        <x:v>68</x:v>
      </x:c>
      <x:c r="G139" t="str">
        <x:v>https://elementdma.com/tools/labor-rate-calculator/</x:v>
      </x:c>
      <x:c r="H139" t="str">
        <x:v>I</x:v>
      </x:c>
    </x:row>
    <x:row r="140">
      <x:c r="A140" t="str">
        <x:v>elementdma.com</x:v>
      </x:c>
      <x:c r="B140" t="str">
        <x:v>auto repair marketing software</x:v>
      </x:c>
      <x:c r="C140" s="13" t="n">
        <x:v>10</x:v>
      </x:c>
      <x:c r="D140" s="13" t="n">
        <x:v>33</x:v>
      </x:c>
      <x:c r="E140" s="14" t="n">
        <x:v>0</x:v>
      </x:c>
      <x:c r="F140" s="13" t="n">
        <x:v>36</x:v>
      </x:c>
      <x:c r="G140" t="str">
        <x:v>https://elementdma.com/blog/top-17-crm-systems-for-automotive-repair-businesses-comparison-of-features-pricing-and-benefits/</x:v>
      </x:c>
      <x:c r="H140" t="str">
        <x:v>I</x:v>
      </x:c>
    </x:row>
    <x:row r="141">
      <x:c r="A141" t="str">
        <x:v>elementdma.com</x:v>
      </x:c>
      <x:c r="B141" t="str">
        <x:v>marketing an auto repair shop</x:v>
      </x:c>
      <x:c r="C141" s="13" t="n">
        <x:v>10</x:v>
      </x:c>
      <x:c r="D141" s="13" t="n">
        <x:v>24</x:v>
      </x:c>
      <x:c r="E141" s="14" t="n">
        <x:v>8.57</x:v>
      </x:c>
      <x:c r="F141" s="13" t="n">
        <x:v>52</x:v>
      </x:c>
      <x:c r="G141" t="str">
        <x:v>https://elementdma.com/best-auto-repair-shop-marketing-ideas/</x:v>
      </x:c>
      <x:c r="H141" t="str">
        <x:v>I</x:v>
      </x:c>
    </x:row>
    <x:row r="142">
      <x:c r="A142" t="str">
        <x:v>elementdma.com</x:v>
      </x:c>
      <x:c r="B142" t="str">
        <x:v>average labor rate auto repair</x:v>
      </x:c>
      <x:c r="C142" s="13" t="n">
        <x:v>10</x:v>
      </x:c>
      <x:c r="D142" s="13" t="n">
        <x:v>17</x:v>
      </x:c>
      <x:c r="E142" s="14" t="n">
        <x:v>0</x:v>
      </x:c>
      <x:c r="F142" s="13" t="n">
        <x:v>58</x:v>
      </x:c>
      <x:c r="G142" t="str">
        <x:v>https://elementdma.com/tools/labor-rate-calculator/</x:v>
      </x:c>
      <x:c r="H142" t="str">
        <x:v>I</x:v>
      </x:c>
    </x:row>
    <x:row r="143">
      <x:c r="A143" t="str">
        <x:v>elementdma.com</x:v>
      </x:c>
      <x:c r="B143" t="str">
        <x:v>auto repair digital marketing agency</x:v>
      </x:c>
      <x:c r="C143" s="13" t="n">
        <x:v>10</x:v>
      </x:c>
      <x:c r="D143" s="13" t="n">
        <x:v>19</x:v>
      </x:c>
      <x:c r="E143" s="14" t="n">
        <x:v>0</x:v>
      </x:c>
      <x:c r="F143" s="13" t="n">
        <x:v>10</x:v>
      </x:c>
      <x:c r="G143" t="str">
        <x:v>https://elementdma.com/blog/top-23-auto-repair-marketing-companies-in-the-us/</x:v>
      </x:c>
      <x:c r="H143" t="str">
        <x:v>L, C</x:v>
      </x:c>
    </x:row>
    <x:row r="144">
      <x:c r="A144" t="str">
        <x:v>elementdma.com</x:v>
      </x:c>
      <x:c r="B144" t="str">
        <x:v>auto repair lead generation services</x:v>
      </x:c>
      <x:c r="C144" s="13" t="n">
        <x:v>10</x:v>
      </x:c>
      <x:c r="D144" s="13" t="n">
        <x:v>12</x:v>
      </x:c>
      <x:c r="E144" s="14" t="n">
        <x:v>0</x:v>
      </x:c>
      <x:c r="F144" s="13" t="n">
        <x:v>28</x:v>
      </x:c>
      <x:c r="G144" t="str">
        <x:v>https://elementdma.com/blog/top-23-auto-repair-marketing-companies-in-the-us/</x:v>
      </x:c>
      <x:c r="H144" t="str">
        <x:v>L, C</x:v>
      </x:c>
    </x:row>
    <x:row r="145">
      <x:c r="A145" t="str">
        <x:v>elementdma.com</x:v>
      </x:c>
      <x:c r="B145" t="str">
        <x:v>auto repair shop digital marketing</x:v>
      </x:c>
      <x:c r="C145" s="13" t="n">
        <x:v>10</x:v>
      </x:c>
      <x:c r="D145" s="13" t="n">
        <x:v>28</x:v>
      </x:c>
      <x:c r="E145" s="14" t="n">
        <x:v>0</x:v>
      </x:c>
      <x:c r="F145" s="13" t="n">
        <x:v>18</x:v>
      </x:c>
      <x:c r="G145" t="str">
        <x:v>https://elementdma.com/blog/top-23-auto-repair-marketing-companies-in-the-us/</x:v>
      </x:c>
      <x:c r="H145" t="str">
        <x:v>L, T</x:v>
      </x:c>
    </x:row>
    <x:row r="146">
      <x:c r="A146" t="str">
        <x:v>kukui.com</x:v>
      </x:c>
      <x:c r="B146" t="str">
        <x:v>auto repair direct mail marketing</x:v>
      </x:c>
      <x:c r="C146" s="13" t="n">
        <x:v>10</x:v>
      </x:c>
      <x:c r="D146" s="13" t="n">
        <x:v>5</x:v>
      </x:c>
      <x:c r="E146" s="14" t="n">
        <x:v>0</x:v>
      </x:c>
      <x:c r="F146" s="13" t="n">
        <x:v>69</x:v>
      </x:c>
      <x:c r="G146" t="str">
        <x:v>https://www.kukui.com/postcards</x:v>
      </x:c>
      <x:c r="H146" t="str">
        <x:v>I</x:v>
      </x:c>
    </x:row>
    <x:row r="147">
      <x:c r="A147" t="str">
        <x:v>kukui.com</x:v>
      </x:c>
      <x:c r="B147" t="str">
        <x:v>auto repair shop online marketing</x:v>
      </x:c>
      <x:c r="C147" s="13" t="n">
        <x:v>10</x:v>
      </x:c>
      <x:c r="D147" s="13" t="n">
        <x:v>11</x:v>
      </x:c>
      <x:c r="E147" s="14" t="n">
        <x:v>0</x:v>
      </x:c>
      <x:c r="F147" s="13" t="n">
        <x:v>13</x:v>
      </x:c>
      <x:c r="G147" t="str">
        <x:v>https://www.kukui.com/trends-and-strategies-in-automotive-digital-marketing-for-independent-repair-shops</x:v>
      </x:c>
      <x:c r="H147" t="str">
        <x:v>L, T</x:v>
      </x:c>
    </x:row>
    <x:row r="148">
      <x:c r="A148" t="str">
        <x:v>kukui.com</x:v>
      </x:c>
      <x:c r="B148" t="str">
        <x:v>auto repair email marketing</x:v>
      </x:c>
      <x:c r="C148" s="13" t="n">
        <x:v>10</x:v>
      </x:c>
      <x:c r="D148" s="13" t="n">
        <x:v>5</x:v>
      </x:c>
      <x:c r="E148" s="14" t="n">
        <x:v>0</x:v>
      </x:c>
      <x:c r="F148" s="13" t="n">
        <x:v>66</x:v>
      </x:c>
      <x:c r="G148" t="str">
        <x:v>https://www.kukui.com/maximizing-profits-data-driven-marketing-strategies-for-auto-repair-shops</x:v>
      </x:c>
      <x:c r="H148" t="str">
        <x:v>I</x:v>
      </x:c>
    </x:row>
    <x:row r="149">
      <x:c r="A149" t="str">
        <x:v>kukui.com</x:v>
      </x:c>
      <x:c r="B149" t="str">
        <x:v>auto repair shop digital marketing</x:v>
      </x:c>
      <x:c r="C149" s="13" t="n">
        <x:v>10</x:v>
      </x:c>
      <x:c r="D149" s="13" t="n">
        <x:v>28</x:v>
      </x:c>
      <x:c r="E149" s="14" t="n">
        <x:v>0</x:v>
      </x:c>
      <x:c r="F149" s="13" t="n">
        <x:v>4</x:v>
      </x:c>
      <x:c r="G149" t="str">
        <x:v>https://www.kukui.com/trends-and-strategies-in-automotive-digital-marketing-for-independent-repair-shops</x:v>
      </x:c>
      <x:c r="H149" t="str">
        <x:v>L, T</x:v>
      </x:c>
    </x:row>
    <x:row r="150">
      <x:c r="A150" t="str">
        <x:v>shopmarketingpros.com</x:v>
      </x:c>
      <x:c r="B150" t="str">
        <x:v>auto repair marketing</x:v>
      </x:c>
      <x:c r="C150" s="13" t="n">
        <x:v>10</x:v>
      </x:c>
      <x:c r="D150" s="13" t="n">
        <x:v>35</x:v>
      </x:c>
      <x:c r="E150" s="14" t="n">
        <x:v>8.57</x:v>
      </x:c>
      <x:c r="F150" s="13" t="n">
        <x:v>7</x:v>
      </x:c>
      <x:c r="G150" t="str">
        <x:v>https://shopmarketingpros.com/</x:v>
      </x:c>
      <x:c r="H150" t="str">
        <x:v>L, C</x:v>
      </x:c>
    </x:row>
    <x:row r="151">
      <x:c r="A151" t="str">
        <x:v>shopmarketingpros.com</x:v>
      </x:c>
      <x:c r="B151" t="str">
        <x:v>auto repair shop marketing</x:v>
      </x:c>
      <x:c r="C151" s="13" t="n">
        <x:v>10</x:v>
      </x:c>
      <x:c r="D151" s="13" t="n">
        <x:v>13</x:v>
      </x:c>
      <x:c r="E151" s="14" t="n">
        <x:v>8.57</x:v>
      </x:c>
      <x:c r="F151" s="13" t="n">
        <x:v>9</x:v>
      </x:c>
      <x:c r="G151" t="str">
        <x:v>https://shopmarketingpros.com/blog/</x:v>
      </x:c>
      <x:c r="H151" t="str">
        <x:v>I</x:v>
      </x:c>
    </x:row>
    <x:row r="152">
      <x:c r="A152" t="str">
        <x:v>shopmarketingpros.com</x:v>
      </x:c>
      <x:c r="B152" t="str">
        <x:v>marketing for auto repair shops</x:v>
      </x:c>
      <x:c r="C152" s="13" t="n">
        <x:v>10</x:v>
      </x:c>
      <x:c r="D152" s="13" t="n">
        <x:v>25</x:v>
      </x:c>
      <x:c r="E152" s="14" t="n">
        <x:v>8.57</x:v>
      </x:c>
      <x:c r="F152" s="13" t="n">
        <x:v>10</x:v>
      </x:c>
      <x:c r="G152" t="str">
        <x:v>https://shopmarketingpros.com/</x:v>
      </x:c>
      <x:c r="H152" t="str">
        <x:v>L, T</x:v>
      </x:c>
    </x:row>
    <x:row r="153">
      <x:c r="A153" t="str">
        <x:v>shopmarketingpros.com</x:v>
      </x:c>
      <x:c r="B153" t="str">
        <x:v>auto repair shops marketing</x:v>
      </x:c>
      <x:c r="C153" s="13" t="n">
        <x:v>10</x:v>
      </x:c>
      <x:c r="D153" s="13" t="n">
        <x:v>21</x:v>
      </x:c>
      <x:c r="E153" s="14" t="n">
        <x:v>8.57</x:v>
      </x:c>
      <x:c r="F153" s="13" t="n">
        <x:v>14</x:v>
      </x:c>
      <x:c r="G153" t="str">
        <x:v>https://shopmarketingpros.com/blog/</x:v>
      </x:c>
      <x:c r="H153" t="str">
        <x:v>L, T</x:v>
      </x:c>
    </x:row>
    <x:row r="154">
      <x:c r="A154" t="str">
        <x:v>shopmarketingpros.com</x:v>
      </x:c>
      <x:c r="B154" t="str">
        <x:v>atlanta auto repair marketing</x:v>
      </x:c>
      <x:c r="C154" s="13" t="n">
        <x:v>10</x:v>
      </x:c>
      <x:c r="D154" s="13" t="n">
        <x:v>11</x:v>
      </x:c>
      <x:c r="E154" s="14" t="n">
        <x:v>0</x:v>
      </x:c>
      <x:c r="F154" s="13" t="n">
        <x:v>31</x:v>
      </x:c>
      <x:c r="G154" t="str">
        <x:v>https://shopmarketingpros.com/how-to-create-a-real-world-marketing-plan-for-an-auto-repair-shop/</x:v>
      </x:c>
      <x:c r="H154" t="str">
        <x:v>I</x:v>
      </x:c>
    </x:row>
    <x:row r="155">
      <x:c r="A155" t="str">
        <x:v>shopmarketingpros.com</x:v>
      </x:c>
      <x:c r="B155" t="str">
        <x:v>auto repair marketing atlanta</x:v>
      </x:c>
      <x:c r="C155" s="13" t="n">
        <x:v>10</x:v>
      </x:c>
      <x:c r="D155" s="13" t="n">
        <x:v>18</x:v>
      </x:c>
      <x:c r="E155" s="14" t="n">
        <x:v>0</x:v>
      </x:c>
      <x:c r="F155" s="13" t="n">
        <x:v>37</x:v>
      </x:c>
      <x:c r="G155" t="str">
        <x:v>https://shopmarketingpros.com/how-to-create-a-real-world-marketing-plan-for-an-auto-repair-shop/</x:v>
      </x:c>
      <x:c r="H155" t="str">
        <x:v>L, C</x:v>
      </x:c>
    </x:row>
    <x:row r="156">
      <x:c r="A156" t="str">
        <x:v>shopmarketingpros.com</x:v>
      </x:c>
      <x:c r="B156" t="str">
        <x:v>auto repair marketing tips</x:v>
      </x:c>
      <x:c r="C156" s="13" t="n">
        <x:v>10</x:v>
      </x:c>
      <x:c r="D156" s="13" t="n">
        <x:v>17</x:v>
      </x:c>
      <x:c r="E156" s="14" t="n">
        <x:v>0</x:v>
      </x:c>
      <x:c r="F156" s="13" t="n">
        <x:v>1</x:v>
      </x:c>
      <x:c r="G156" t="str">
        <x:v>https://shopmarketingpros.com/guide-auto-repair-shop-marketing/#:~:text=Color%20theory%20plays%20a%20big,Client%20Centric%20Content</x:v>
      </x:c>
      <x:c r="H156" t="str">
        <x:v>I</x:v>
      </x:c>
    </x:row>
    <x:row r="157">
      <x:c r="A157" t="str">
        <x:v>shopmarketingpros.com</x:v>
      </x:c>
      <x:c r="B157" t="str">
        <x:v>auto repair shop online marketing</x:v>
      </x:c>
      <x:c r="C157" s="13" t="n">
        <x:v>10</x:v>
      </x:c>
      <x:c r="D157" s="13" t="n">
        <x:v>11</x:v>
      </x:c>
      <x:c r="E157" s="14" t="n">
        <x:v>0</x:v>
      </x:c>
      <x:c r="F157" s="13" t="n">
        <x:v>7</x:v>
      </x:c>
      <x:c r="G157" t="str">
        <x:v>https://shopmarketingpros.com/guide-auto-repair-shop-marketing/</x:v>
      </x:c>
      <x:c r="H157" t="str">
        <x:v>L, T</x:v>
      </x:c>
    </x:row>
    <x:row r="158">
      <x:c r="A158" t="str">
        <x:v>shopmarketingpros.com</x:v>
      </x:c>
      <x:c r="B158" t="str">
        <x:v>auto repair social media marketing</x:v>
      </x:c>
      <x:c r="C158" s="13" t="n">
        <x:v>10</x:v>
      </x:c>
      <x:c r="D158" s="13" t="n">
        <x:v>6</x:v>
      </x:c>
      <x:c r="E158" s="14" t="n">
        <x:v>0</x:v>
      </x:c>
      <x:c r="F158" s="13" t="n">
        <x:v>34</x:v>
      </x:c>
      <x:c r="G158" t="str">
        <x:v>https://shopmarketingpros.com/guide-auto-repair-shop-marketing/</x:v>
      </x:c>
      <x:c r="H158" t="str">
        <x:v>L, C</x:v>
      </x:c>
    </x:row>
    <x:row r="159">
      <x:c r="A159" t="str">
        <x:v>shopmarketingpros.com</x:v>
      </x:c>
      <x:c r="B159" t="str">
        <x:v>auto repair lead generation agency</x:v>
      </x:c>
      <x:c r="C159" s="13" t="n">
        <x:v>10</x:v>
      </x:c>
      <x:c r="D159" s="13" t="n">
        <x:v>12</x:v>
      </x:c>
      <x:c r="E159" s="14" t="n">
        <x:v>0</x:v>
      </x:c>
      <x:c r="F159" s="13" t="n">
        <x:v>51</x:v>
      </x:c>
      <x:c r="G159" t="str">
        <x:v>https://shopmarketingpros.com/best-marketing-companies-for-an-auto-reapir-shop/</x:v>
      </x:c>
      <x:c r="H159" t="str">
        <x:v>L, C</x:v>
      </x:c>
    </x:row>
    <x:row r="160">
      <x:c r="A160" t="str">
        <x:v>shopmarketingpros.com</x:v>
      </x:c>
      <x:c r="B160" t="str">
        <x:v>auto repair email marketing</x:v>
      </x:c>
      <x:c r="C160" s="13" t="n">
        <x:v>10</x:v>
      </x:c>
      <x:c r="D160" s="13" t="n">
        <x:v>5</x:v>
      </x:c>
      <x:c r="E160" s="14" t="n">
        <x:v>0</x:v>
      </x:c>
      <x:c r="F160" s="13" t="n">
        <x:v>89</x:v>
      </x:c>
      <x:c r="G160" t="str">
        <x:v>https://shopmarketingpros.com/guide-auto-repair-shop-marketing/</x:v>
      </x:c>
      <x:c r="H160" t="str">
        <x:v>I</x:v>
      </x:c>
    </x:row>
    <x:row r="161">
      <x:c r="A161" t="str">
        <x:v>shopmarketingpros.com</x:v>
      </x:c>
      <x:c r="B161" t="str">
        <x:v>marketing an auto repair shop</x:v>
      </x:c>
      <x:c r="C161" s="13" t="n">
        <x:v>10</x:v>
      </x:c>
      <x:c r="D161" s="13" t="n">
        <x:v>24</x:v>
      </x:c>
      <x:c r="E161" s="14" t="n">
        <x:v>8.57</x:v>
      </x:c>
      <x:c r="F161" s="13" t="n">
        <x:v>8</x:v>
      </x:c>
      <x:c r="G161" t="str">
        <x:v>https://shopmarketingpros.com/</x:v>
      </x:c>
      <x:c r="H161" t="str">
        <x:v>I</x:v>
      </x:c>
    </x:row>
    <x:row r="162">
      <x:c r="A162" t="str">
        <x:v>shopmarketingpros.com</x:v>
      </x:c>
      <x:c r="B162" t="str">
        <x:v>auto repair shop social media marketing</x:v>
      </x:c>
      <x:c r="C162" s="13" t="n">
        <x:v>10</x:v>
      </x:c>
      <x:c r="D162" s="13" t="n">
        <x:v>6</x:v>
      </x:c>
      <x:c r="E162" s="14" t="n">
        <x:v>0</x:v>
      </x:c>
      <x:c r="F162" s="13" t="n">
        <x:v>30</x:v>
      </x:c>
      <x:c r="G162" t="str">
        <x:v>https://shopmarketingpros.com/guide-auto-repair-shop-marketing/</x:v>
      </x:c>
      <x:c r="H162" t="str">
        <x:v>L, T</x:v>
      </x:c>
    </x:row>
    <x:row r="163">
      <x:c r="A163" t="str">
        <x:v>shopmarketingpros.com</x:v>
      </x:c>
      <x:c r="B163" t="str">
        <x:v>seo services for auto repair</x:v>
      </x:c>
      <x:c r="C163" s="13" t="n">
        <x:v>10</x:v>
      </x:c>
      <x:c r="D163" s="13" t="n">
        <x:v>12</x:v>
      </x:c>
      <x:c r="E163" s="14" t="n">
        <x:v>0</x:v>
      </x:c>
      <x:c r="F163" s="13" t="n">
        <x:v>8</x:v>
      </x:c>
      <x:c r="G163" t="str">
        <x:v>https://shopmarketingpros.com/seo-for-auto-repair-shops/</x:v>
      </x:c>
      <x:c r="H163" t="str">
        <x:v>I</x:v>
      </x:c>
    </x:row>
    <x:row r="164">
      <x:c r="A164" t="str">
        <x:v>shopmarketingpros.com</x:v>
      </x:c>
      <x:c r="B164" t="str">
        <x:v>auto repair seo experts</x:v>
      </x:c>
      <x:c r="C164" s="13" t="n">
        <x:v>10</x:v>
      </x:c>
      <x:c r="D164" s="13" t="n">
        <x:v>10</x:v>
      </x:c>
      <x:c r="E164" s="14" t="n">
        <x:v>0</x:v>
      </x:c>
      <x:c r="F164" s="13" t="n">
        <x:v>31</x:v>
      </x:c>
      <x:c r="G164" t="str">
        <x:v>https://shopmarketingpros.com/seo-for-auto-repair-shops/</x:v>
      </x:c>
      <x:c r="H164" t="str">
        <x:v>L, C</x:v>
      </x:c>
    </x:row>
    <x:row r="165">
      <x:c r="A165" t="str">
        <x:v>shopmarketingpros.com</x:v>
      </x:c>
      <x:c r="B165" t="str">
        <x:v>seo for european auto repair</x:v>
      </x:c>
      <x:c r="C165" s="13" t="n">
        <x:v>10</x:v>
      </x:c>
      <x:c r="D165" s="13" t="n">
        <x:v>4</x:v>
      </x:c>
      <x:c r="E165" s="14" t="n">
        <x:v>0</x:v>
      </x:c>
      <x:c r="F165" s="13" t="n">
        <x:v>1</x:v>
      </x:c>
      <x:c r="G165" t="str">
        <x:v>https://shopmarketingpros.com/seo-for-auto-repair-shops/#:~:text=One%20of%20the%20most%20powerful,search%20engines%20understand%20your%20content.</x:v>
      </x:c>
      <x:c r="H165" t="str">
        <x:v>L, C</x:v>
      </x:c>
    </x:row>
    <x:row r="166">
      <x:c r="A166" t="str">
        <x:v>shopmarketingpros.com</x:v>
      </x:c>
      <x:c r="B166" t="str">
        <x:v>seo for german auto repair</x:v>
      </x:c>
      <x:c r="C166" s="13" t="n">
        <x:v>10</x:v>
      </x:c>
      <x:c r="D166" s="13" t="n">
        <x:v>5</x:v>
      </x:c>
      <x:c r="E166" s="14" t="n">
        <x:v>0</x:v>
      </x:c>
      <x:c r="F166" s="13" t="n">
        <x:v>10</x:v>
      </x:c>
      <x:c r="G166" t="str">
        <x:v>https://shopmarketingpros.com/seo-for-auto-repair-shops/</x:v>
      </x:c>
      <x:c r="H166" t="str">
        <x:v>L, C</x:v>
      </x:c>
    </x:row>
    <x:row r="167">
      <x:c r="A167" t="str">
        <x:v>shopmarketingpros.com</x:v>
      </x:c>
      <x:c r="B167" t="str">
        <x:v>auto repair digital marketing agency</x:v>
      </x:c>
      <x:c r="C167" s="13" t="n">
        <x:v>10</x:v>
      </x:c>
      <x:c r="D167" s="13" t="n">
        <x:v>19</x:v>
      </x:c>
      <x:c r="E167" s="14" t="n">
        <x:v>0</x:v>
      </x:c>
      <x:c r="F167" s="13" t="n">
        <x:v>2</x:v>
      </x:c>
      <x:c r="G167" t="str">
        <x:v>https://shopmarketingpros.com/best-marketing-companies-for-an-auto-repair-shop/</x:v>
      </x:c>
      <x:c r="H167" t="str">
        <x:v>L, C</x:v>
      </x:c>
    </x:row>
    <x:row r="168">
      <x:c r="A168" t="str">
        <x:v>shopmarketingpros.com</x:v>
      </x:c>
      <x:c r="B168" t="str">
        <x:v>european auto repair seo</x:v>
      </x:c>
      <x:c r="C168" s="13" t="n">
        <x:v>10</x:v>
      </x:c>
      <x:c r="D168" s="13" t="n">
        <x:v>4</x:v>
      </x:c>
      <x:c r="E168" s="14" t="n">
        <x:v>0</x:v>
      </x:c>
      <x:c r="F168" s="13" t="n">
        <x:v>13</x:v>
      </x:c>
      <x:c r="G168" t="str">
        <x:v>https://shopmarketingpros.com/seo-for-auto-repair-shops/</x:v>
      </x:c>
      <x:c r="H168" t="str">
        <x:v>L, C</x:v>
      </x:c>
    </x:row>
    <x:row r="169">
      <x:c r="A169" t="str">
        <x:v>shopmarketingpros.com</x:v>
      </x:c>
      <x:c r="B169" t="str">
        <x:v>auto repair shop email marketing</x:v>
      </x:c>
      <x:c r="C169" s="13" t="n">
        <x:v>10</x:v>
      </x:c>
      <x:c r="D169" s="13" t="n">
        <x:v>11</x:v>
      </x:c>
      <x:c r="E169" s="14" t="n">
        <x:v>0</x:v>
      </x:c>
      <x:c r="F169" s="13" t="n">
        <x:v>31</x:v>
      </x:c>
      <x:c r="G169" t="str">
        <x:v>https://shopmarketingpros.com/how-email-marketing-can-increase-your-auto-repair-shops-average-repair-order/</x:v>
      </x:c>
      <x:c r="H169" t="str">
        <x:v>L, T</x:v>
      </x:c>
    </x:row>
    <x:row r="170">
      <x:c r="A170" t="str">
        <x:v>shopmarketingpros.com</x:v>
      </x:c>
      <x:c r="B170" t="str">
        <x:v>auto repair lead generation services</x:v>
      </x:c>
      <x:c r="C170" s="13" t="n">
        <x:v>10</x:v>
      </x:c>
      <x:c r="D170" s="13" t="n">
        <x:v>12</x:v>
      </x:c>
      <x:c r="E170" s="14" t="n">
        <x:v>0</x:v>
      </x:c>
      <x:c r="F170" s="13" t="n">
        <x:v>19</x:v>
      </x:c>
      <x:c r="G170" t="str">
        <x:v>https://shopmarketingpros.com/best-marketing-companies-for-an-auto-repair-shop/</x:v>
      </x:c>
      <x:c r="H170" t="str">
        <x:v>L, C</x:v>
      </x:c>
    </x:row>
    <x:row r="171">
      <x:c r="A171" t="str">
        <x:v>shopmarketingpros.com</x:v>
      </x:c>
      <x:c r="B171" t="str">
        <x:v>auto repair shop digital marketing</x:v>
      </x:c>
      <x:c r="C171" s="13" t="n">
        <x:v>10</x:v>
      </x:c>
      <x:c r="D171" s="13" t="n">
        <x:v>28</x:v>
      </x:c>
      <x:c r="E171" s="14" t="n">
        <x:v>0</x:v>
      </x:c>
      <x:c r="F171" s="13" t="n">
        <x:v>6</x:v>
      </x:c>
      <x:c r="G171" t="str">
        <x:v>https://shopmarketingpros.com/</x:v>
      </x:c>
      <x:c r="H171" t="str">
        <x:v>L, T</x:v>
      </x:c>
    </x:row>
    <x:row r="172">
      <x:c r="A172" t="str">
        <x:v>tunedupdigital.com</x:v>
      </x:c>
      <x:c r="B172" t="str">
        <x:v>auto repair digital marketing agency</x:v>
      </x:c>
      <x:c r="C172" s="13" t="n">
        <x:v>10</x:v>
      </x:c>
      <x:c r="D172" s="13" t="n">
        <x:v>19</x:v>
      </x:c>
      <x:c r="E172" s="14" t="n">
        <x:v>0</x:v>
      </x:c>
      <x:c r="F172" s="13" t="n">
        <x:v>30</x:v>
      </x:c>
      <x:c r="G172" t="str">
        <x:v>https://www.tunedupdigital.com/locations/dearborn</x:v>
      </x:c>
      <x:c r="H172" t="str">
        <x:v>L, C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2926ddef04f34b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8" hidden="0" customWidth="1"/>
    <x:col min="3" max="3" width="4" hidden="0" customWidth="1"/>
    <x:col min="4" max="4" width="34" hidden="0" customWidth="1"/>
    <x:col min="5" max="5" width="22" hidden="0" customWidth="1"/>
    <x:col min="6" max="6" width="74" hidden="0" customWidth="1"/>
  </x:cols>
  <x:sheetData>
    <x:row r="1" ht="28" customHeight="1">
      <x:c r="A1" s="3" t="str">
        <x:v>Sources, Assumptions and Scoring Model</x:v>
      </x:c>
      <x:c r="B1" s="3" t="str">
        <x:v>Sources, Assumptions and Scoring Model</x:v>
      </x:c>
      <x:c r="C1" s="3" t="str">
        <x:v>Sources, Assumptions and Scoring Model</x:v>
      </x:c>
      <x:c r="D1" s="3" t="str">
        <x:v>Sources, Assumptions and Scoring Model</x:v>
      </x:c>
      <x:c r="E1" s="3" t="str">
        <x:v>Sources, Assumptions and Scoring Model</x:v>
      </x:c>
      <x:c r="F1" s="3" t="str">
        <x:v>Sources, Assumptions and Scoring Model</x:v>
      </x:c>
    </x:row>
    <x:row r="2" ht="28" customHeight="1">
      <x:c r="A2" s="3" t="str">
        <x:v>Sources, Assumptions and Scoring Model</x:v>
      </x:c>
      <x:c r="B2" s="3" t="str">
        <x:v>Sources, Assumptions and Scoring Model</x:v>
      </x:c>
      <x:c r="C2" s="3" t="str">
        <x:v>Sources, Assumptions and Scoring Model</x:v>
      </x:c>
      <x:c r="D2" s="3" t="str">
        <x:v>Sources, Assumptions and Scoring Model</x:v>
      </x:c>
      <x:c r="E2" s="3" t="str">
        <x:v>Sources, Assumptions and Scoring Model</x:v>
      </x:c>
      <x:c r="F2" s="3" t="str">
        <x:v>Sources, Assumptions and Scoring Model</x:v>
      </x:c>
    </x:row>
    <x:row r="3" ht="28" customHeight="1">
      <x:c r="A3" s="7" t="str">
        <x:v>Research date: 2026-08-04. Search demand and rankings change; use this workbook as a prioritization baseline, not a permanent forecast.</x:v>
      </x:c>
      <x:c r="B3" s="7" t="str">
        <x:v>Research date: 2026-08-04. Search demand and rankings change; use this workbook as a prioritization baseline, not a permanent forecast.</x:v>
      </x:c>
      <x:c r="C3" s="7" t="str">
        <x:v>Research date: 2026-08-04. Search demand and rankings change; use this workbook as a prioritization baseline, not a permanent forecast.</x:v>
      </x:c>
      <x:c r="D3" s="7" t="str">
        <x:v>Research date: 2026-08-04. Search demand and rankings change; use this workbook as a prioritization baseline, not a permanent forecast.</x:v>
      </x:c>
      <x:c r="E3" s="7" t="str">
        <x:v>Research date: 2026-08-04. Search demand and rankings change; use this workbook as a prioritization baseline, not a permanent forecast.</x:v>
      </x:c>
      <x:c r="F3" s="7" t="str">
        <x:v>Research date: 2026-08-04. Search demand and rankings change; use this workbook as a prioritization baseline, not a permanent forecast.</x:v>
      </x:c>
    </x:row>
    <x:row r="5">
      <x:c r="A5" s="16" t="str">
        <x:v>Scoring weights</x:v>
      </x:c>
      <x:c r="B5" s="16" t="str">
        <x:v>Scoring weights</x:v>
      </x:c>
      <x:c r="C5" s="16" t="str">
        <x:v>Scoring weights</x:v>
      </x:c>
      <x:c r="D5" s="16" t="str">
        <x:v>Primary data sources</x:v>
      </x:c>
      <x:c r="E5" s="16" t="str">
        <x:v>Primary data sources</x:v>
      </x:c>
      <x:c r="F5" s="16" t="str">
        <x:v>Primary data sources</x:v>
      </x:c>
    </x:row>
    <x:row r="6" ht="32" customHeight="1">
      <x:c r="A6" s="21" t="str">
        <x:v>Input</x:v>
      </x:c>
      <x:c r="B6" s="21" t="str">
        <x:v>Weight / divisor</x:v>
      </x:c>
      <x:c r="D6" s="21" t="str">
        <x:v>Source</x:v>
      </x:c>
      <x:c r="E6" s="21" t="str">
        <x:v>Date range / access date</x:v>
      </x:c>
      <x:c r="F6" s="21" t="str">
        <x:v>URL</x:v>
      </x:c>
    </x:row>
    <x:row r="7">
      <x:c r="A7" s="24" t="str">
        <x:v>GSC impression opportunity</x:v>
      </x:c>
      <x:c r="B7" s="25" t="n">
        <x:v>0.3</x:v>
      </x:c>
      <x:c r="D7" s="24" t="str">
        <x:v>Google Search Console — 28 days</x:v>
      </x:c>
      <x:c r="E7" s="24" t="str">
        <x:v>2026-07-06 to 2026-08-02</x:v>
      </x:c>
      <x:c r="F7" s="24" t="str">
        <x:v>/Users/kylecoffelt/Downloads/turnkeyautomarketing.com-Performance-on-Search-2026-08-04 (1).xlsx</x:v>
      </x:c>
    </x:row>
    <x:row r="8">
      <x:c r="A8" s="24" t="str">
        <x:v>SE search demand</x:v>
      </x:c>
      <x:c r="B8" s="25" t="n">
        <x:v>0.2</x:v>
      </x:c>
      <x:c r="D8" s="24" t="str">
        <x:v>Google Search Console — 7 days</x:v>
      </x:c>
      <x:c r="E8" s="24" t="str">
        <x:v>2026-07-27 to 2026-08-02</x:v>
      </x:c>
      <x:c r="F8" s="24" t="str">
        <x:v>/Users/kylecoffelt/Downloads/turnkeyautomarketing.com-Performance-on-Search-2026-08-04.xlsx</x:v>
      </x:c>
    </x:row>
    <x:row r="9">
      <x:c r="A9" s="24" t="str">
        <x:v>Ranking feasibility</x:v>
      </x:c>
      <x:c r="B9" s="25" t="n">
        <x:v>0.15</x:v>
      </x:c>
      <x:c r="D9" s="24" t="str">
        <x:v>SE Ranking project</x:v>
      </x:c>
      <x:c r="E9" s="24" t="str">
        <x:v>2026-08-04</x:v>
      </x:c>
      <x:c r="F9" s="24" t="str">
        <x:v>https://online.seranking.com/</x:v>
      </x:c>
    </x:row>
    <x:row r="10">
      <x:c r="A10" s="24" t="str">
        <x:v>Business fit</x:v>
      </x:c>
      <x:c r="B10" s="25" t="n">
        <x:v>0.25</x:v>
      </x:c>
      <x:c r="D10" s="24" t="str">
        <x:v>Autoshop Solutions</x:v>
      </x:c>
      <x:c r="E10" s="24" t="str">
        <x:v>accessed 2026-08-04</x:v>
      </x:c>
      <x:c r="F10" s="24" t="str">
        <x:v>https://autoshopsolutions.com/</x:v>
      </x:c>
    </x:row>
    <x:row r="11">
      <x:c r="A11" s="24" t="str">
        <x:v>Existing asset leverage</x:v>
      </x:c>
      <x:c r="B11" s="25" t="n">
        <x:v>0.1</x:v>
      </x:c>
      <x:c r="D11" s="24" t="str">
        <x:v>TunedUp Digital</x:v>
      </x:c>
      <x:c r="E11" s="24" t="str">
        <x:v>accessed 2026-08-04</x:v>
      </x:c>
      <x:c r="F11" s="24" t="str">
        <x:v>https://www.tunedupdigital.com/</x:v>
      </x:c>
    </x:row>
    <x:row r="12">
      <x:c r="A12" s="24" t="str">
        <x:v>Effort penalty</x:v>
      </x:c>
      <x:c r="B12" s="25" t="n">
        <x:v>1</x:v>
      </x:c>
      <x:c r="D12" s="24" t="str">
        <x:v>Shop Marketing Pros 2026 plan</x:v>
      </x:c>
      <x:c r="E12" s="24" t="str">
        <x:v>accessed 2026-08-04</x:v>
      </x:c>
      <x:c r="F12" s="24" t="str">
        <x:v>https://shopmarketingpros.com/2026-auto-repair-marketing-plan-grow-your-shop/</x:v>
      </x:c>
    </x:row>
    <x:row r="13">
      <x:c r="A13" s="24" t="str">
        <x:v>Note</x:v>
      </x:c>
      <x:c r="B13" s="24" t="str">
        <x:v>Score = weighted opportunity divided by effort; maximum inputs are capped at 5.</x:v>
      </x:c>
      <x:c r="D13" s="24" t="str">
        <x:v>Kukui 2026 plan</x:v>
      </x:c>
      <x:c r="E13" s="24" t="str">
        <x:v>accessed 2026-08-04</x:v>
      </x:c>
      <x:c r="F13" s="24" t="str">
        <x:v>https://www.kukui.com/your-2026-auto-repair-shop-marketing-plan</x:v>
      </x:c>
    </x:row>
    <x:row r="14" ht="32" customHeight="1">
      <x:c r="A14" s="21" t="str">
        <x:v>Normalization input</x:v>
      </x:c>
      <x:c r="B14" s="21" t="str">
        <x:v>Value</x:v>
      </x:c>
      <x:c r="D14" s="24" t="str">
        <x:v>Auto Shop Digital plan guide</x:v>
      </x:c>
      <x:c r="E14" s="24" t="str">
        <x:v>accessed 2026-08-04</x:v>
      </x:c>
      <x:c r="F14" s="24" t="str">
        <x:v>https://www.autoshopdigital.com/blog/auto-repair-marketing-plan-guide/</x:v>
      </x:c>
    </x:row>
    <x:row r="15">
      <x:c r="A15" s="24" t="str">
        <x:v>GSC impressions per point</x:v>
      </x:c>
      <x:c r="B15" s="24" t="n">
        <x:v>50</x:v>
      </x:c>
      <x:c r="D15" s="24" t="str">
        <x:v>Element DMA company list</x:v>
      </x:c>
      <x:c r="E15" s="24" t="str">
        <x:v>accessed 2026-08-04</x:v>
      </x:c>
      <x:c r="F15" s="24" t="str">
        <x:v>https://elementdma.com/blog/top-23-auto-repair-marketing-companies-in-the-us/</x:v>
      </x:c>
    </x:row>
    <x:row r="16">
      <x:c r="A16" s="24" t="str">
        <x:v>SE monthly volume per point</x:v>
      </x:c>
      <x:c r="B16" s="24" t="n">
        <x:v>100</x:v>
      </x:c>
    </x:row>
    <x:row r="18">
      <x:c r="A18" s="16" t="str">
        <x:v>Scope and interpretation guardrails</x:v>
      </x:c>
      <x:c r="B18" s="16" t="str">
        <x:v>Scope and interpretation guardrails</x:v>
      </x:c>
      <x:c r="C18" s="16" t="str">
        <x:v>Scope and interpretation guardrails</x:v>
      </x:c>
      <x:c r="D18" s="16" t="str">
        <x:v>Scope and interpretation guardrails</x:v>
      </x:c>
      <x:c r="E18" s="16" t="str">
        <x:v>Scope and interpretation guardrails</x:v>
      </x:c>
      <x:c r="F18" s="16" t="str">
        <x:v>Scope and interpretation guardrails</x:v>
      </x:c>
    </x:row>
    <x:row r="19" ht="32" customHeight="1">
      <x:c r="A19" s="21" t="str">
        <x:v>Topic</x:v>
      </x:c>
      <x:c r="B19" s="21" t="str">
        <x:v>Assumption / guardrail</x:v>
      </x:c>
    </x:row>
    <x:row r="20" ht="62" customHeight="1">
      <x:c r="A20" s="26" t="str">
        <x:v>Current offer scope</x:v>
      </x:c>
      <x:c r="B20" s="26" t="str">
        <x:v>Do not create standalone SEO, PPC or website-design service pages unless Turnkey formally adds those services. Digital-marketing content should describe review management, GBP optimization, website audits and vendor coordination accurately.</x:v>
      </x:c>
    </x:row>
    <x:row r="21" ht="62" customHeight="1">
      <x:c r="A21" s="26" t="str">
        <x:v>Keyword volumes</x:v>
      </x:c>
      <x:c r="B21" s="26" t="str">
        <x:v>SE Ranking databases can show different volumes across endpoints. The research sheet keeps the maximum observed volume and identifies contributing sources.</x:v>
      </x:c>
    </x:row>
    <x:row r="22" ht="62" customHeight="1">
      <x:c r="A22" s="26" t="str">
        <x:v>Positions</x:v>
      </x:c>
      <x:c r="B22" s="26" t="str">
        <x:v>A displayed position of 101 means outside the top 100, not exactly position 101.</x:v>
      </x:c>
    </x:row>
    <x:row r="23" ht="62" customHeight="1">
      <x:c r="A23" s="26" t="str">
        <x:v>GSC privacy</x:v>
      </x:c>
      <x:c r="B23" s="26" t="str">
        <x:v>Query totals may be lower than site totals because Search Console omits anonymized queries.</x:v>
      </x:c>
    </x:row>
    <x:row r="24" ht="62" customHeight="1">
      <x:c r="A24" s="26" t="str">
        <x:v>Migration monitoring</x:v>
      </x:c>
      <x:c r="B24" s="26" t="str">
        <x:v>Homepage URL variants and legacy URLs remain visible in GSC. Phase 1 redirects/canonicals should be monitored for consolidation over the next 4–8 weeks.</x:v>
      </x:c>
    </x:row>
    <x:row r="25" ht="62" customHeight="1">
      <x:c r="A25" s="26" t="str">
        <x:v>Generic competitors</x:v>
      </x:c>
      <x:c r="B25" s="26" t="str">
        <x:v>Generic domain-competitor lists were polluted by unrelated brands containing “Turnkey”; keyword-level competitors drive this analysis.</x:v>
      </x:c>
    </x:row>
    <x:row r="26" ht="62" customHeight="1">
      <x:c r="A26" s="26" t="str">
        <x:v>Easy-win definition</x:v>
      </x:c>
      <x:c r="B26" s="26" t="str">
        <x:v>Existing URL, current visibility or first-party impressions, strong business fit and a modest implementation effort.</x:v>
      </x:c>
    </x:row>
  </x:sheetData>
  <x:mergeCells>
    <x:mergeCell ref="A1:F2"/>
    <x:mergeCell ref="A3:F3"/>
    <x:mergeCell ref="A5:F5"/>
    <x:mergeCell ref="D5:F5"/>
    <x:mergeCell ref="A18:F18"/>
  </x:mergeCells>
  <x:pageMargins left="0.7" right="0.7" top="0.75" bottom="0.75" header="0.3" footer="0.3"/>
</x:worksheet>
</file>